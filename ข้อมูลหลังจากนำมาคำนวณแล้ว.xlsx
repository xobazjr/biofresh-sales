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ยอดขาย\ปี2569\เดือน ก.ย\"/>
    </mc:Choice>
  </mc:AlternateContent>
  <xr:revisionPtr revIDLastSave="0" documentId="13_ncr:1_{E2754639-AFB7-43DE-8F08-C5063F6F5A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budget performance manage" sheetId="1" r:id="rId1"/>
    <sheet name="Sheet1" sheetId="3" r:id="rId2"/>
    <sheet name="Graph" sheetId="2" r:id="rId3"/>
  </sheets>
  <externalReferences>
    <externalReference r:id="rId4"/>
  </externalReferences>
  <definedNames>
    <definedName name="_xlnm.Print_Area" localSheetId="0">'Sales budget performance manage'!$A$3:$M$230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8" i="1" l="1"/>
  <c r="AL54" i="1"/>
  <c r="AL58" i="1"/>
  <c r="BB56" i="1"/>
  <c r="BC56" i="1" s="1"/>
  <c r="AZ58" i="1"/>
  <c r="AZ56" i="1"/>
  <c r="BA56" i="1"/>
  <c r="T92" i="1"/>
  <c r="D113" i="1"/>
  <c r="BA51" i="1"/>
  <c r="BB35" i="1"/>
  <c r="BB34" i="1"/>
  <c r="AW58" i="1"/>
  <c r="AS58" i="1"/>
  <c r="AO58" i="1"/>
  <c r="AH54" i="1" l="1"/>
  <c r="AG58" i="1" l="1"/>
  <c r="AG56" i="1"/>
  <c r="AG54" i="1"/>
  <c r="AH56" i="1"/>
  <c r="AC44" i="1" l="1"/>
  <c r="AD44" i="1"/>
  <c r="AD22" i="1"/>
  <c r="AC56" i="1"/>
  <c r="AD56" i="1"/>
  <c r="AD54" i="1"/>
  <c r="AC22" i="1"/>
  <c r="AD58" i="1" l="1"/>
  <c r="AC58" i="1"/>
  <c r="W54" i="1" l="1"/>
  <c r="X54" i="1"/>
  <c r="W56" i="1" l="1"/>
  <c r="X56" i="1"/>
  <c r="AJ58" i="1"/>
  <c r="AF58" i="1"/>
  <c r="W58" i="1" l="1"/>
  <c r="AB58" i="1" l="1"/>
  <c r="Y56" i="1" l="1"/>
  <c r="X58" i="1"/>
  <c r="S54" i="1"/>
  <c r="T54" i="1"/>
  <c r="Y15" i="1" l="1"/>
  <c r="Y16" i="1"/>
  <c r="Y17" i="1"/>
  <c r="Y18" i="1"/>
  <c r="Y19" i="1"/>
  <c r="Y20" i="1"/>
  <c r="Y21" i="1"/>
  <c r="Y22" i="1"/>
  <c r="S56" i="1" l="1"/>
  <c r="T56" i="1"/>
  <c r="T58" i="1" s="1"/>
  <c r="S58" i="1" l="1"/>
  <c r="U44" i="1"/>
  <c r="U56" i="1"/>
  <c r="R58" i="1"/>
  <c r="O54" i="1" l="1"/>
  <c r="P54" i="1"/>
  <c r="P58" i="1" l="1"/>
  <c r="O58" i="1"/>
  <c r="K54" i="1" l="1"/>
  <c r="K58" i="1" s="1"/>
  <c r="L54" i="1"/>
  <c r="L58" i="1" s="1"/>
  <c r="J58" i="1" l="1"/>
  <c r="G13" i="3"/>
  <c r="G54" i="1" l="1"/>
  <c r="H54" i="1"/>
  <c r="G23" i="3"/>
  <c r="H58" i="1" l="1"/>
  <c r="G58" i="1"/>
  <c r="H65" i="1" l="1"/>
  <c r="D54" i="1"/>
  <c r="D58" i="1" s="1"/>
  <c r="V58" i="1" l="1"/>
  <c r="N58" i="1"/>
  <c r="M57" i="1"/>
  <c r="M56" i="1"/>
  <c r="C58" i="1" l="1"/>
  <c r="B58" i="1" l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AV115" i="1"/>
  <c r="AW115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Y78" i="1" s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Y104" i="1" s="1"/>
  <c r="AX105" i="1"/>
  <c r="AX106" i="1"/>
  <c r="AX107" i="1"/>
  <c r="AX108" i="1"/>
  <c r="AX109" i="1"/>
  <c r="AX110" i="1"/>
  <c r="AX111" i="1"/>
  <c r="AX112" i="1"/>
  <c r="AX113" i="1"/>
  <c r="AX114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Q104" i="1" s="1"/>
  <c r="AP105" i="1"/>
  <c r="AP106" i="1"/>
  <c r="AP107" i="1"/>
  <c r="AP108" i="1"/>
  <c r="AP109" i="1"/>
  <c r="AP110" i="1"/>
  <c r="AP111" i="1"/>
  <c r="AP112" i="1"/>
  <c r="AP113" i="1"/>
  <c r="AP114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U78" i="1" s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U104" i="1" s="1"/>
  <c r="AT105" i="1"/>
  <c r="AT106" i="1"/>
  <c r="AT107" i="1"/>
  <c r="AT108" i="1"/>
  <c r="AT109" i="1"/>
  <c r="AT110" i="1"/>
  <c r="AT111" i="1"/>
  <c r="AT112" i="1"/>
  <c r="AT113" i="1"/>
  <c r="AT114" i="1"/>
  <c r="AS115" i="1"/>
  <c r="AR115" i="1"/>
  <c r="AQ78" i="1"/>
  <c r="AO115" i="1"/>
  <c r="AN115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M78" i="1" s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BB91" i="1" s="1"/>
  <c r="AL92" i="1"/>
  <c r="BB92" i="1" s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M104" i="1" s="1"/>
  <c r="AL105" i="1"/>
  <c r="AL106" i="1"/>
  <c r="AL107" i="1"/>
  <c r="AL108" i="1"/>
  <c r="AL109" i="1"/>
  <c r="AL110" i="1"/>
  <c r="AL111" i="1"/>
  <c r="AL112" i="1"/>
  <c r="AL113" i="1"/>
  <c r="BB113" i="1" s="1"/>
  <c r="AL114" i="1"/>
  <c r="AK115" i="1"/>
  <c r="AJ115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I78" i="1" s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I114" i="1" s="1"/>
  <c r="AG115" i="1"/>
  <c r="AF115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E78" i="1" s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E104" i="1" s="1"/>
  <c r="AD105" i="1"/>
  <c r="AD106" i="1"/>
  <c r="AD107" i="1"/>
  <c r="AD108" i="1"/>
  <c r="AD109" i="1"/>
  <c r="AD110" i="1"/>
  <c r="AD111" i="1"/>
  <c r="AD112" i="1"/>
  <c r="AD113" i="1"/>
  <c r="AD114" i="1"/>
  <c r="AE114" i="1" s="1"/>
  <c r="AC115" i="1"/>
  <c r="AB115" i="1"/>
  <c r="D2" i="2"/>
  <c r="F58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Y78" i="1" s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F211" i="1" s="1"/>
  <c r="X97" i="1"/>
  <c r="X98" i="1"/>
  <c r="X99" i="1"/>
  <c r="F214" i="1" s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Y114" i="1" s="1"/>
  <c r="W115" i="1"/>
  <c r="V115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U78" i="1" s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3" i="1"/>
  <c r="T94" i="1"/>
  <c r="T95" i="1"/>
  <c r="T96" i="1"/>
  <c r="T97" i="1"/>
  <c r="T98" i="1"/>
  <c r="T99" i="1"/>
  <c r="T100" i="1"/>
  <c r="T101" i="1"/>
  <c r="T102" i="1"/>
  <c r="T103" i="1"/>
  <c r="T104" i="1"/>
  <c r="U104" i="1" s="1"/>
  <c r="T105" i="1"/>
  <c r="T106" i="1"/>
  <c r="T107" i="1"/>
  <c r="T108" i="1"/>
  <c r="T109" i="1"/>
  <c r="T110" i="1"/>
  <c r="T111" i="1"/>
  <c r="T112" i="1"/>
  <c r="T113" i="1"/>
  <c r="U113" i="1" s="1"/>
  <c r="T114" i="1"/>
  <c r="U114" i="1" s="1"/>
  <c r="S115" i="1"/>
  <c r="R115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Q78" i="1" s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Q104" i="1" s="1"/>
  <c r="P105" i="1"/>
  <c r="P106" i="1"/>
  <c r="P107" i="1"/>
  <c r="P108" i="1"/>
  <c r="P109" i="1"/>
  <c r="P110" i="1"/>
  <c r="P111" i="1"/>
  <c r="P112" i="1"/>
  <c r="P113" i="1"/>
  <c r="Q113" i="1" s="1"/>
  <c r="P114" i="1"/>
  <c r="Q114" i="1" s="1"/>
  <c r="O115" i="1"/>
  <c r="N115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M78" i="1" s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M104" i="1" s="1"/>
  <c r="L105" i="1"/>
  <c r="L106" i="1"/>
  <c r="L107" i="1"/>
  <c r="L108" i="1"/>
  <c r="L109" i="1"/>
  <c r="L110" i="1"/>
  <c r="L111" i="1"/>
  <c r="L112" i="1"/>
  <c r="L113" i="1"/>
  <c r="M113" i="1" s="1"/>
  <c r="L114" i="1"/>
  <c r="M114" i="1" s="1"/>
  <c r="K115" i="1"/>
  <c r="J115" i="1"/>
  <c r="H64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I78" i="1" s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I104" i="1" s="1"/>
  <c r="H105" i="1"/>
  <c r="H106" i="1"/>
  <c r="H107" i="1"/>
  <c r="H108" i="1"/>
  <c r="H109" i="1"/>
  <c r="H110" i="1"/>
  <c r="H111" i="1"/>
  <c r="H112" i="1"/>
  <c r="H113" i="1"/>
  <c r="H114" i="1"/>
  <c r="I114" i="1" s="1"/>
  <c r="G115" i="1"/>
  <c r="F115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C228" i="1"/>
  <c r="D114" i="1"/>
  <c r="C115" i="1"/>
  <c r="B115" i="1"/>
  <c r="BA114" i="1"/>
  <c r="AZ114" i="1"/>
  <c r="BA104" i="1"/>
  <c r="AZ104" i="1"/>
  <c r="BA78" i="1"/>
  <c r="AZ78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5" i="1"/>
  <c r="BA106" i="1"/>
  <c r="BA107" i="1"/>
  <c r="BA108" i="1"/>
  <c r="BA109" i="1"/>
  <c r="BA110" i="1"/>
  <c r="BA111" i="1"/>
  <c r="BA112" i="1"/>
  <c r="BA113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5" i="1"/>
  <c r="AZ106" i="1"/>
  <c r="AZ107" i="1"/>
  <c r="AZ108" i="1"/>
  <c r="AZ109" i="1"/>
  <c r="AZ110" i="1"/>
  <c r="AZ111" i="1"/>
  <c r="AZ112" i="1"/>
  <c r="AZ113" i="1"/>
  <c r="BB62" i="1"/>
  <c r="BA62" i="1"/>
  <c r="AZ62" i="1"/>
  <c r="F179" i="1" l="1"/>
  <c r="I194" i="1"/>
  <c r="I211" i="1"/>
  <c r="L192" i="1"/>
  <c r="I213" i="1"/>
  <c r="I212" i="1"/>
  <c r="I210" i="1"/>
  <c r="I209" i="1"/>
  <c r="L210" i="1"/>
  <c r="F190" i="1"/>
  <c r="I226" i="1"/>
  <c r="I208" i="1"/>
  <c r="F220" i="1"/>
  <c r="I195" i="1"/>
  <c r="F201" i="1"/>
  <c r="I228" i="1"/>
  <c r="J228" i="1" s="1"/>
  <c r="F212" i="1"/>
  <c r="F208" i="1"/>
  <c r="F209" i="1"/>
  <c r="F213" i="1"/>
  <c r="F202" i="1"/>
  <c r="F184" i="1"/>
  <c r="F210" i="1"/>
  <c r="F215" i="1"/>
  <c r="F197" i="1"/>
  <c r="F183" i="1"/>
  <c r="G162" i="1"/>
  <c r="F192" i="1"/>
  <c r="F227" i="1"/>
  <c r="F191" i="1"/>
  <c r="I192" i="1"/>
  <c r="I191" i="1"/>
  <c r="F226" i="1"/>
  <c r="L226" i="1"/>
  <c r="F221" i="1"/>
  <c r="F185" i="1"/>
  <c r="L222" i="1"/>
  <c r="L204" i="1"/>
  <c r="I193" i="1"/>
  <c r="J193" i="1" s="1"/>
  <c r="L223" i="1"/>
  <c r="L187" i="1"/>
  <c r="F225" i="1"/>
  <c r="F188" i="1"/>
  <c r="L224" i="1"/>
  <c r="L205" i="1"/>
  <c r="F218" i="1"/>
  <c r="F200" i="1"/>
  <c r="F182" i="1"/>
  <c r="F206" i="1"/>
  <c r="L206" i="1"/>
  <c r="F217" i="1"/>
  <c r="F199" i="1"/>
  <c r="F181" i="1"/>
  <c r="F216" i="1"/>
  <c r="F198" i="1"/>
  <c r="F180" i="1"/>
  <c r="F189" i="1"/>
  <c r="L228" i="1"/>
  <c r="M228" i="1" s="1"/>
  <c r="F196" i="1"/>
  <c r="L227" i="1"/>
  <c r="L209" i="1"/>
  <c r="C180" i="1"/>
  <c r="F195" i="1"/>
  <c r="L208" i="1"/>
  <c r="F207" i="1"/>
  <c r="F224" i="1"/>
  <c r="L188" i="1"/>
  <c r="F194" i="1"/>
  <c r="I198" i="1"/>
  <c r="I197" i="1"/>
  <c r="I214" i="1"/>
  <c r="L213" i="1"/>
  <c r="L195" i="1"/>
  <c r="L212" i="1"/>
  <c r="L194" i="1"/>
  <c r="L229" i="1"/>
  <c r="L211" i="1"/>
  <c r="L221" i="1"/>
  <c r="L203" i="1"/>
  <c r="I217" i="1"/>
  <c r="I199" i="1"/>
  <c r="I181" i="1"/>
  <c r="I216" i="1"/>
  <c r="I180" i="1"/>
  <c r="I215" i="1"/>
  <c r="I179" i="1"/>
  <c r="I196" i="1"/>
  <c r="F229" i="1"/>
  <c r="I227" i="1"/>
  <c r="I190" i="1"/>
  <c r="L191" i="1"/>
  <c r="F228" i="1"/>
  <c r="G228" i="1" s="1"/>
  <c r="F193" i="1"/>
  <c r="G193" i="1" s="1"/>
  <c r="I189" i="1"/>
  <c r="L190" i="1"/>
  <c r="I225" i="1"/>
  <c r="I207" i="1"/>
  <c r="I224" i="1"/>
  <c r="I206" i="1"/>
  <c r="I188" i="1"/>
  <c r="L225" i="1"/>
  <c r="L207" i="1"/>
  <c r="L189" i="1"/>
  <c r="L183" i="1"/>
  <c r="I229" i="1"/>
  <c r="C179" i="1"/>
  <c r="C218" i="1"/>
  <c r="C211" i="1"/>
  <c r="C197" i="1"/>
  <c r="C229" i="1"/>
  <c r="C226" i="1"/>
  <c r="C208" i="1"/>
  <c r="C190" i="1"/>
  <c r="C210" i="1"/>
  <c r="C192" i="1"/>
  <c r="F203" i="1"/>
  <c r="C225" i="1"/>
  <c r="C207" i="1"/>
  <c r="C189" i="1"/>
  <c r="I223" i="1"/>
  <c r="I205" i="1"/>
  <c r="I187" i="1"/>
  <c r="C224" i="1"/>
  <c r="C206" i="1"/>
  <c r="C188" i="1"/>
  <c r="Y104" i="1"/>
  <c r="F219" i="1"/>
  <c r="G219" i="1" s="1"/>
  <c r="I186" i="1"/>
  <c r="C187" i="1"/>
  <c r="I203" i="1"/>
  <c r="C204" i="1"/>
  <c r="I220" i="1"/>
  <c r="I202" i="1"/>
  <c r="I184" i="1"/>
  <c r="L185" i="1"/>
  <c r="C221" i="1"/>
  <c r="C203" i="1"/>
  <c r="C185" i="1"/>
  <c r="AI104" i="1"/>
  <c r="I219" i="1"/>
  <c r="J219" i="1" s="1"/>
  <c r="I201" i="1"/>
  <c r="I183" i="1"/>
  <c r="L220" i="1"/>
  <c r="L202" i="1"/>
  <c r="L184" i="1"/>
  <c r="C220" i="1"/>
  <c r="I218" i="1"/>
  <c r="I200" i="1"/>
  <c r="I182" i="1"/>
  <c r="L201" i="1"/>
  <c r="I222" i="1"/>
  <c r="I204" i="1"/>
  <c r="C223" i="1"/>
  <c r="C205" i="1"/>
  <c r="I221" i="1"/>
  <c r="I185" i="1"/>
  <c r="L186" i="1"/>
  <c r="C186" i="1"/>
  <c r="L215" i="1"/>
  <c r="L179" i="1"/>
  <c r="L214" i="1"/>
  <c r="C222" i="1"/>
  <c r="L218" i="1"/>
  <c r="L200" i="1"/>
  <c r="L182" i="1"/>
  <c r="L217" i="1"/>
  <c r="L199" i="1"/>
  <c r="L181" i="1"/>
  <c r="L216" i="1"/>
  <c r="L198" i="1"/>
  <c r="L180" i="1"/>
  <c r="L197" i="1"/>
  <c r="L196" i="1"/>
  <c r="F223" i="1"/>
  <c r="F205" i="1"/>
  <c r="F187" i="1"/>
  <c r="C227" i="1"/>
  <c r="C209" i="1"/>
  <c r="C191" i="1"/>
  <c r="F222" i="1"/>
  <c r="F204" i="1"/>
  <c r="F186" i="1"/>
  <c r="C202" i="1"/>
  <c r="C184" i="1"/>
  <c r="C219" i="1"/>
  <c r="D219" i="1" s="1"/>
  <c r="C201" i="1"/>
  <c r="C183" i="1"/>
  <c r="L219" i="1"/>
  <c r="M219" i="1" s="1"/>
  <c r="C200" i="1"/>
  <c r="C182" i="1"/>
  <c r="C217" i="1"/>
  <c r="C199" i="1"/>
  <c r="C181" i="1"/>
  <c r="C216" i="1"/>
  <c r="C198" i="1"/>
  <c r="C215" i="1"/>
  <c r="C214" i="1"/>
  <c r="C196" i="1"/>
  <c r="C213" i="1"/>
  <c r="C195" i="1"/>
  <c r="C212" i="1"/>
  <c r="C194" i="1"/>
  <c r="C193" i="1"/>
  <c r="D193" i="1" s="1"/>
  <c r="L193" i="1"/>
  <c r="M193" i="1" s="1"/>
  <c r="D136" i="1"/>
  <c r="E173" i="1"/>
  <c r="D228" i="1"/>
  <c r="M162" i="1"/>
  <c r="J162" i="1"/>
  <c r="D172" i="1"/>
  <c r="D162" i="1"/>
  <c r="M172" i="1"/>
  <c r="J172" i="1"/>
  <c r="G172" i="1"/>
  <c r="BA115" i="1"/>
  <c r="G136" i="1"/>
  <c r="J136" i="1"/>
  <c r="M136" i="1"/>
  <c r="AZ115" i="1"/>
  <c r="BB114" i="1"/>
  <c r="BB104" i="1"/>
  <c r="E104" i="1"/>
  <c r="BB78" i="1"/>
  <c r="E78" i="1"/>
  <c r="I113" i="1"/>
  <c r="I112" i="1"/>
  <c r="B178" i="1" l="1"/>
  <c r="B230" i="1" s="1"/>
  <c r="BA6" i="1"/>
  <c r="AZ6" i="1"/>
  <c r="AZ5" i="1"/>
  <c r="BA5" i="1"/>
  <c r="BB5" i="1"/>
  <c r="BB6" i="1"/>
  <c r="AZ7" i="1"/>
  <c r="BA7" i="1"/>
  <c r="BB7" i="1"/>
  <c r="AZ8" i="1"/>
  <c r="BA8" i="1"/>
  <c r="BB8" i="1"/>
  <c r="AZ9" i="1"/>
  <c r="BA9" i="1"/>
  <c r="BB9" i="1"/>
  <c r="AZ10" i="1"/>
  <c r="BA10" i="1"/>
  <c r="BB10" i="1"/>
  <c r="AZ11" i="1"/>
  <c r="BA11" i="1"/>
  <c r="BB11" i="1"/>
  <c r="AZ12" i="1"/>
  <c r="BA12" i="1"/>
  <c r="BB12" i="1"/>
  <c r="AZ13" i="1"/>
  <c r="BA13" i="1"/>
  <c r="BB13" i="1"/>
  <c r="AZ14" i="1"/>
  <c r="BA14" i="1"/>
  <c r="BB14" i="1"/>
  <c r="AZ15" i="1"/>
  <c r="BA15" i="1"/>
  <c r="BB15" i="1"/>
  <c r="AZ16" i="1"/>
  <c r="BA16" i="1"/>
  <c r="BB16" i="1"/>
  <c r="AZ17" i="1"/>
  <c r="BA17" i="1"/>
  <c r="BB17" i="1"/>
  <c r="AZ18" i="1"/>
  <c r="BA18" i="1"/>
  <c r="BB18" i="1"/>
  <c r="AZ19" i="1"/>
  <c r="BA19" i="1"/>
  <c r="BB19" i="1"/>
  <c r="AZ20" i="1"/>
  <c r="BA20" i="1"/>
  <c r="BB20" i="1"/>
  <c r="AZ21" i="1"/>
  <c r="BA21" i="1"/>
  <c r="BB21" i="1"/>
  <c r="AZ22" i="1"/>
  <c r="BA22" i="1"/>
  <c r="BB22" i="1"/>
  <c r="AZ23" i="1"/>
  <c r="BA23" i="1"/>
  <c r="BB23" i="1"/>
  <c r="AZ24" i="1"/>
  <c r="BA24" i="1"/>
  <c r="BB24" i="1"/>
  <c r="AZ25" i="1"/>
  <c r="BA25" i="1"/>
  <c r="BB25" i="1"/>
  <c r="AZ26" i="1"/>
  <c r="BA26" i="1"/>
  <c r="BB26" i="1"/>
  <c r="AZ27" i="1"/>
  <c r="BA27" i="1"/>
  <c r="BB27" i="1"/>
  <c r="AZ28" i="1"/>
  <c r="BA28" i="1"/>
  <c r="BB28" i="1"/>
  <c r="AZ29" i="1"/>
  <c r="BA29" i="1"/>
  <c r="BB29" i="1"/>
  <c r="AZ30" i="1"/>
  <c r="BA30" i="1"/>
  <c r="BB30" i="1"/>
  <c r="AZ31" i="1"/>
  <c r="BA31" i="1"/>
  <c r="BB31" i="1"/>
  <c r="AZ32" i="1"/>
  <c r="BA32" i="1"/>
  <c r="BB32" i="1"/>
  <c r="AZ33" i="1"/>
  <c r="BA33" i="1"/>
  <c r="BB33" i="1"/>
  <c r="AZ34" i="1"/>
  <c r="BA34" i="1"/>
  <c r="AZ35" i="1"/>
  <c r="BA35" i="1"/>
  <c r="AZ36" i="1"/>
  <c r="BA36" i="1"/>
  <c r="BB36" i="1"/>
  <c r="AZ37" i="1"/>
  <c r="BA37" i="1"/>
  <c r="BB37" i="1"/>
  <c r="AZ38" i="1"/>
  <c r="BA38" i="1"/>
  <c r="BB38" i="1"/>
  <c r="AZ39" i="1"/>
  <c r="BA39" i="1"/>
  <c r="BB39" i="1"/>
  <c r="AZ40" i="1"/>
  <c r="BA40" i="1"/>
  <c r="BB40" i="1"/>
  <c r="AZ41" i="1"/>
  <c r="BA41" i="1"/>
  <c r="BB41" i="1"/>
  <c r="AZ42" i="1"/>
  <c r="BA42" i="1"/>
  <c r="BB42" i="1"/>
  <c r="AZ43" i="1"/>
  <c r="BA43" i="1"/>
  <c r="BB43" i="1"/>
  <c r="AZ44" i="1"/>
  <c r="BA44" i="1"/>
  <c r="BB44" i="1"/>
  <c r="AZ45" i="1"/>
  <c r="BA45" i="1"/>
  <c r="BB45" i="1"/>
  <c r="AZ46" i="1"/>
  <c r="BA46" i="1"/>
  <c r="BB46" i="1"/>
  <c r="AZ47" i="1"/>
  <c r="BA47" i="1"/>
  <c r="BB47" i="1"/>
  <c r="AZ48" i="1"/>
  <c r="BA48" i="1"/>
  <c r="BB48" i="1"/>
  <c r="AZ49" i="1"/>
  <c r="BA49" i="1"/>
  <c r="BB49" i="1"/>
  <c r="AZ50" i="1"/>
  <c r="BA50" i="1"/>
  <c r="BB50" i="1"/>
  <c r="AZ51" i="1"/>
  <c r="BB51" i="1"/>
  <c r="AZ52" i="1"/>
  <c r="BA52" i="1"/>
  <c r="BB52" i="1"/>
  <c r="AZ53" i="1"/>
  <c r="BA53" i="1"/>
  <c r="BB53" i="1"/>
  <c r="AZ54" i="1"/>
  <c r="BA54" i="1"/>
  <c r="BB54" i="1"/>
  <c r="AZ55" i="1"/>
  <c r="BA55" i="1"/>
  <c r="BB55" i="1"/>
  <c r="M16" i="1"/>
  <c r="M17" i="1"/>
  <c r="M18" i="1"/>
  <c r="M19" i="1"/>
  <c r="M20" i="1"/>
  <c r="M21" i="1"/>
  <c r="M22" i="1"/>
  <c r="M23" i="1"/>
  <c r="Q14" i="1"/>
  <c r="Q15" i="1"/>
  <c r="Q16" i="1"/>
  <c r="Q17" i="1"/>
  <c r="Q18" i="1"/>
  <c r="Q19" i="1"/>
  <c r="Q20" i="1"/>
  <c r="Q21" i="1"/>
  <c r="Q22" i="1"/>
  <c r="Q23" i="1"/>
  <c r="U16" i="1"/>
  <c r="U17" i="1"/>
  <c r="U18" i="1"/>
  <c r="U19" i="1"/>
  <c r="U20" i="1"/>
  <c r="U21" i="1"/>
  <c r="U22" i="1"/>
  <c r="U12" i="1"/>
  <c r="U13" i="1"/>
  <c r="BA58" i="1" l="1"/>
  <c r="BB58" i="1"/>
  <c r="BC9" i="1"/>
  <c r="AY47" i="1"/>
  <c r="AU47" i="1"/>
  <c r="AQ47" i="1"/>
  <c r="AM47" i="1"/>
  <c r="AI47" i="1"/>
  <c r="AE47" i="1"/>
  <c r="Y47" i="1"/>
  <c r="U47" i="1"/>
  <c r="Q47" i="1"/>
  <c r="M47" i="1"/>
  <c r="I47" i="1"/>
  <c r="E47" i="1"/>
  <c r="AY21" i="1"/>
  <c r="AU21" i="1"/>
  <c r="AQ21" i="1"/>
  <c r="AM21" i="1"/>
  <c r="AI21" i="1"/>
  <c r="AE21" i="1"/>
  <c r="I21" i="1"/>
  <c r="E21" i="1"/>
  <c r="AY57" i="1"/>
  <c r="AU57" i="1"/>
  <c r="AQ57" i="1"/>
  <c r="AI57" i="1"/>
  <c r="AE57" i="1"/>
  <c r="D63" i="1"/>
  <c r="D115" i="1" s="1"/>
  <c r="BC47" i="1" l="1"/>
  <c r="BC21" i="1"/>
  <c r="AX58" i="1"/>
  <c r="AY56" i="1" l="1"/>
  <c r="AY15" i="1"/>
  <c r="AY16" i="1"/>
  <c r="AY17" i="1"/>
  <c r="AY18" i="1"/>
  <c r="AY19" i="1"/>
  <c r="AY20" i="1"/>
  <c r="AY22" i="1"/>
  <c r="AT58" i="1" l="1"/>
  <c r="AU45" i="1" l="1"/>
  <c r="AU46" i="1"/>
  <c r="AU48" i="1"/>
  <c r="AU49" i="1"/>
  <c r="AU50" i="1"/>
  <c r="AU51" i="1"/>
  <c r="AU52" i="1"/>
  <c r="AU53" i="1"/>
  <c r="AU54" i="1"/>
  <c r="AU55" i="1"/>
  <c r="AU56" i="1"/>
  <c r="AU38" i="1"/>
  <c r="AU39" i="1"/>
  <c r="AU40" i="1"/>
  <c r="AU41" i="1"/>
  <c r="AU42" i="1"/>
  <c r="AU43" i="1"/>
  <c r="AU44" i="1"/>
  <c r="AU27" i="1"/>
  <c r="AU28" i="1"/>
  <c r="AU29" i="1"/>
  <c r="AU30" i="1"/>
  <c r="AU31" i="1"/>
  <c r="AU32" i="1"/>
  <c r="AU33" i="1"/>
  <c r="AU34" i="1"/>
  <c r="AU35" i="1"/>
  <c r="AU36" i="1"/>
  <c r="AU37" i="1"/>
  <c r="AU22" i="1"/>
  <c r="AU23" i="1"/>
  <c r="AU24" i="1"/>
  <c r="AU25" i="1"/>
  <c r="AU26" i="1"/>
  <c r="AU17" i="1"/>
  <c r="AU18" i="1"/>
  <c r="AU19" i="1"/>
  <c r="AU20" i="1"/>
  <c r="AR58" i="1" l="1"/>
  <c r="AV58" i="1"/>
  <c r="AP58" i="1"/>
  <c r="AQ56" i="1"/>
  <c r="AQ25" i="1"/>
  <c r="AQ11" i="1"/>
  <c r="AQ22" i="1" l="1"/>
  <c r="AM22" i="1"/>
  <c r="AQ16" i="1"/>
  <c r="AQ17" i="1"/>
  <c r="AQ18" i="1"/>
  <c r="AQ19" i="1"/>
  <c r="AQ20" i="1"/>
  <c r="AM15" i="1"/>
  <c r="AM16" i="1"/>
  <c r="AM17" i="1"/>
  <c r="AM18" i="1"/>
  <c r="AM19" i="1"/>
  <c r="AM20" i="1"/>
  <c r="AH58" i="1" l="1"/>
  <c r="AI20" i="1" l="1"/>
  <c r="AI19" i="1"/>
  <c r="AE22" i="1"/>
  <c r="AE6" i="1"/>
  <c r="AY75" i="1"/>
  <c r="AQ75" i="1"/>
  <c r="AM75" i="1"/>
  <c r="AI75" i="1"/>
  <c r="AE75" i="1"/>
  <c r="Y75" i="1"/>
  <c r="U75" i="1"/>
  <c r="Q75" i="1"/>
  <c r="M75" i="1"/>
  <c r="I75" i="1"/>
  <c r="AY76" i="1"/>
  <c r="AQ76" i="1"/>
  <c r="AM76" i="1"/>
  <c r="AI76" i="1"/>
  <c r="AE76" i="1"/>
  <c r="Y76" i="1"/>
  <c r="U76" i="1"/>
  <c r="Q76" i="1"/>
  <c r="M76" i="1"/>
  <c r="I76" i="1"/>
  <c r="AE19" i="1"/>
  <c r="I19" i="1"/>
  <c r="E19" i="1"/>
  <c r="AE18" i="1"/>
  <c r="I18" i="1"/>
  <c r="E18" i="1"/>
  <c r="E20" i="1"/>
  <c r="I20" i="1"/>
  <c r="AI44" i="1"/>
  <c r="AM23" i="1"/>
  <c r="D191" i="1" l="1"/>
  <c r="J134" i="1"/>
  <c r="J191" i="1"/>
  <c r="G191" i="1"/>
  <c r="G134" i="1"/>
  <c r="D190" i="1"/>
  <c r="G190" i="1"/>
  <c r="J190" i="1"/>
  <c r="D134" i="1"/>
  <c r="G133" i="1"/>
  <c r="J133" i="1"/>
  <c r="D133" i="1"/>
  <c r="E75" i="1"/>
  <c r="E76" i="1"/>
  <c r="AI22" i="1"/>
  <c r="AI17" i="1"/>
  <c r="AI54" i="1" l="1"/>
  <c r="AI38" i="1"/>
  <c r="AI40" i="1"/>
  <c r="AI41" i="1"/>
  <c r="AI43" i="1"/>
  <c r="AI45" i="1"/>
  <c r="AI48" i="1"/>
  <c r="AI49" i="1"/>
  <c r="AI50" i="1"/>
  <c r="AI52" i="1"/>
  <c r="AI53" i="1"/>
  <c r="AI56" i="1"/>
  <c r="AI55" i="1"/>
  <c r="AE9" i="1" l="1"/>
  <c r="AE10" i="1"/>
  <c r="AE45" i="1"/>
  <c r="AE49" i="1"/>
  <c r="AE52" i="1"/>
  <c r="AE50" i="1"/>
  <c r="AE44" i="1"/>
  <c r="AE7" i="1"/>
  <c r="AE8" i="1"/>
  <c r="AE11" i="1"/>
  <c r="AE12" i="1"/>
  <c r="AE13" i="1"/>
  <c r="AE14" i="1"/>
  <c r="AE15" i="1"/>
  <c r="AE16" i="1"/>
  <c r="AE17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6" i="1"/>
  <c r="AE48" i="1"/>
  <c r="AE51" i="1"/>
  <c r="AE53" i="1"/>
  <c r="AE55" i="1"/>
  <c r="AE56" i="1"/>
  <c r="AE54" i="1" l="1"/>
  <c r="AE58" i="1" l="1"/>
  <c r="AN58" i="1"/>
  <c r="AE113" i="1"/>
  <c r="Y113" i="1" l="1"/>
  <c r="AI113" i="1"/>
  <c r="J229" i="1"/>
  <c r="G171" i="1"/>
  <c r="D171" i="1"/>
  <c r="D229" i="1"/>
  <c r="M229" i="1"/>
  <c r="J171" i="1"/>
  <c r="M171" i="1"/>
  <c r="G229" i="1"/>
  <c r="U11" i="1" l="1"/>
  <c r="U10" i="1"/>
  <c r="C121" i="1" l="1"/>
  <c r="C173" i="1" s="1"/>
  <c r="B121" i="1"/>
  <c r="B173" i="1" s="1"/>
  <c r="F121" i="1"/>
  <c r="F173" i="1" s="1"/>
  <c r="H3" i="2"/>
  <c r="I2" i="2"/>
  <c r="I3" i="2"/>
  <c r="K178" i="1"/>
  <c r="K230" i="1" s="1"/>
  <c r="H178" i="1"/>
  <c r="H230" i="1" s="1"/>
  <c r="E178" i="1"/>
  <c r="E230" i="1" s="1"/>
  <c r="K121" i="1"/>
  <c r="K173" i="1" s="1"/>
  <c r="I121" i="1"/>
  <c r="I173" i="1" s="1"/>
  <c r="H121" i="1"/>
  <c r="H173" i="1" s="1"/>
  <c r="M7" i="2"/>
  <c r="K7" i="2"/>
  <c r="J7" i="2"/>
  <c r="I7" i="2"/>
  <c r="H7" i="2"/>
  <c r="G7" i="2"/>
  <c r="F7" i="2"/>
  <c r="E7" i="2"/>
  <c r="D7" i="2"/>
  <c r="C7" i="2"/>
  <c r="B7" i="2"/>
  <c r="AY112" i="1"/>
  <c r="AU112" i="1"/>
  <c r="AQ112" i="1"/>
  <c r="AM112" i="1"/>
  <c r="Y112" i="1"/>
  <c r="Q112" i="1"/>
  <c r="M112" i="1"/>
  <c r="M111" i="1"/>
  <c r="I111" i="1"/>
  <c r="AY110" i="1"/>
  <c r="AQ110" i="1"/>
  <c r="AM110" i="1"/>
  <c r="AE110" i="1"/>
  <c r="U110" i="1"/>
  <c r="Q110" i="1"/>
  <c r="M110" i="1"/>
  <c r="I110" i="1"/>
  <c r="AY109" i="1"/>
  <c r="AU109" i="1"/>
  <c r="AQ109" i="1"/>
  <c r="AM109" i="1"/>
  <c r="AE109" i="1"/>
  <c r="U109" i="1"/>
  <c r="Q109" i="1"/>
  <c r="M109" i="1"/>
  <c r="I109" i="1"/>
  <c r="AY108" i="1"/>
  <c r="AQ108" i="1"/>
  <c r="AM108" i="1"/>
  <c r="AE108" i="1"/>
  <c r="U108" i="1"/>
  <c r="Q108" i="1"/>
  <c r="M108" i="1"/>
  <c r="I108" i="1"/>
  <c r="AY107" i="1"/>
  <c r="AU107" i="1"/>
  <c r="AQ107" i="1"/>
  <c r="AM107" i="1"/>
  <c r="AE107" i="1"/>
  <c r="U107" i="1"/>
  <c r="Q107" i="1"/>
  <c r="M107" i="1"/>
  <c r="I107" i="1"/>
  <c r="AY106" i="1"/>
  <c r="AQ106" i="1"/>
  <c r="AM106" i="1"/>
  <c r="AE106" i="1"/>
  <c r="U106" i="1"/>
  <c r="Q106" i="1"/>
  <c r="M106" i="1"/>
  <c r="I106" i="1"/>
  <c r="AY105" i="1"/>
  <c r="AU105" i="1"/>
  <c r="AQ105" i="1"/>
  <c r="AM105" i="1"/>
  <c r="AI105" i="1"/>
  <c r="AE105" i="1"/>
  <c r="Y105" i="1"/>
  <c r="U105" i="1"/>
  <c r="Q105" i="1"/>
  <c r="M105" i="1"/>
  <c r="I105" i="1"/>
  <c r="AY103" i="1"/>
  <c r="AU103" i="1"/>
  <c r="AQ103" i="1"/>
  <c r="AM103" i="1"/>
  <c r="AI103" i="1"/>
  <c r="AE103" i="1"/>
  <c r="Y103" i="1"/>
  <c r="U103" i="1"/>
  <c r="Q103" i="1"/>
  <c r="M103" i="1"/>
  <c r="I103" i="1"/>
  <c r="AY102" i="1"/>
  <c r="AU102" i="1"/>
  <c r="AQ102" i="1"/>
  <c r="AM102" i="1"/>
  <c r="AI102" i="1"/>
  <c r="AE102" i="1"/>
  <c r="Y102" i="1"/>
  <c r="U102" i="1"/>
  <c r="Q102" i="1"/>
  <c r="M102" i="1"/>
  <c r="I102" i="1"/>
  <c r="AY101" i="1"/>
  <c r="AQ101" i="1"/>
  <c r="AM101" i="1"/>
  <c r="AE101" i="1"/>
  <c r="Q101" i="1"/>
  <c r="AY100" i="1"/>
  <c r="AU100" i="1"/>
  <c r="AQ100" i="1"/>
  <c r="AM100" i="1"/>
  <c r="AI100" i="1"/>
  <c r="AE100" i="1"/>
  <c r="Y100" i="1"/>
  <c r="U100" i="1"/>
  <c r="Q100" i="1"/>
  <c r="M100" i="1"/>
  <c r="I100" i="1"/>
  <c r="AQ99" i="1"/>
  <c r="AE99" i="1"/>
  <c r="Y99" i="1"/>
  <c r="Q99" i="1"/>
  <c r="AY98" i="1"/>
  <c r="AQ98" i="1"/>
  <c r="AM98" i="1"/>
  <c r="AI98" i="1"/>
  <c r="AE98" i="1"/>
  <c r="U98" i="1"/>
  <c r="Q98" i="1"/>
  <c r="M98" i="1"/>
  <c r="I98" i="1"/>
  <c r="AY97" i="1"/>
  <c r="AU97" i="1"/>
  <c r="AQ97" i="1"/>
  <c r="AM97" i="1"/>
  <c r="AI97" i="1"/>
  <c r="AE97" i="1"/>
  <c r="Y97" i="1"/>
  <c r="U97" i="1"/>
  <c r="Q97" i="1"/>
  <c r="M97" i="1"/>
  <c r="AY96" i="1"/>
  <c r="AU96" i="1"/>
  <c r="AQ96" i="1"/>
  <c r="AM96" i="1"/>
  <c r="AE96" i="1"/>
  <c r="Y96" i="1"/>
  <c r="U96" i="1"/>
  <c r="Q96" i="1"/>
  <c r="M96" i="1"/>
  <c r="I96" i="1"/>
  <c r="AY95" i="1"/>
  <c r="AU95" i="1"/>
  <c r="AQ95" i="1"/>
  <c r="AM95" i="1"/>
  <c r="AI95" i="1"/>
  <c r="AE95" i="1"/>
  <c r="U95" i="1"/>
  <c r="Q95" i="1"/>
  <c r="M95" i="1"/>
  <c r="I95" i="1"/>
  <c r="AY94" i="1"/>
  <c r="AU94" i="1"/>
  <c r="AQ94" i="1"/>
  <c r="AM94" i="1"/>
  <c r="AE94" i="1"/>
  <c r="Y94" i="1"/>
  <c r="U94" i="1"/>
  <c r="Q94" i="1"/>
  <c r="M94" i="1"/>
  <c r="I94" i="1"/>
  <c r="AY93" i="1"/>
  <c r="AU93" i="1"/>
  <c r="AQ93" i="1"/>
  <c r="AM93" i="1"/>
  <c r="AI93" i="1"/>
  <c r="AE93" i="1"/>
  <c r="U93" i="1"/>
  <c r="Q93" i="1"/>
  <c r="M93" i="1"/>
  <c r="I93" i="1"/>
  <c r="AY92" i="1"/>
  <c r="AU92" i="1"/>
  <c r="AQ92" i="1"/>
  <c r="AM92" i="1"/>
  <c r="AE92" i="1"/>
  <c r="Y92" i="1"/>
  <c r="U92" i="1"/>
  <c r="Q92" i="1"/>
  <c r="M92" i="1"/>
  <c r="I92" i="1"/>
  <c r="AY91" i="1"/>
  <c r="AQ91" i="1"/>
  <c r="AM91" i="1"/>
  <c r="AI91" i="1"/>
  <c r="AE91" i="1"/>
  <c r="U91" i="1"/>
  <c r="Q91" i="1"/>
  <c r="M91" i="1"/>
  <c r="I91" i="1"/>
  <c r="AY90" i="1"/>
  <c r="AU90" i="1"/>
  <c r="AQ90" i="1"/>
  <c r="AM90" i="1"/>
  <c r="AI90" i="1"/>
  <c r="AE90" i="1"/>
  <c r="Y90" i="1"/>
  <c r="U90" i="1"/>
  <c r="Q90" i="1"/>
  <c r="M90" i="1"/>
  <c r="I90" i="1"/>
  <c r="AY89" i="1"/>
  <c r="AQ89" i="1"/>
  <c r="AM89" i="1"/>
  <c r="AI89" i="1"/>
  <c r="AE89" i="1"/>
  <c r="Y89" i="1"/>
  <c r="U89" i="1"/>
  <c r="Q89" i="1"/>
  <c r="M89" i="1"/>
  <c r="I89" i="1"/>
  <c r="AY88" i="1"/>
  <c r="AU88" i="1"/>
  <c r="AQ88" i="1"/>
  <c r="AM88" i="1"/>
  <c r="AE88" i="1"/>
  <c r="Y88" i="1"/>
  <c r="U88" i="1"/>
  <c r="Q88" i="1"/>
  <c r="M88" i="1"/>
  <c r="I88" i="1"/>
  <c r="AY87" i="1"/>
  <c r="AQ87" i="1"/>
  <c r="AM87" i="1"/>
  <c r="AI87" i="1"/>
  <c r="AE87" i="1"/>
  <c r="Y87" i="1"/>
  <c r="U87" i="1"/>
  <c r="Q87" i="1"/>
  <c r="M87" i="1"/>
  <c r="I87" i="1"/>
  <c r="AY86" i="1"/>
  <c r="AQ86" i="1"/>
  <c r="AM86" i="1"/>
  <c r="AI86" i="1"/>
  <c r="AE86" i="1"/>
  <c r="U86" i="1"/>
  <c r="Q86" i="1"/>
  <c r="M86" i="1"/>
  <c r="I86" i="1"/>
  <c r="AY85" i="1"/>
  <c r="AQ85" i="1"/>
  <c r="AM85" i="1"/>
  <c r="AE85" i="1"/>
  <c r="Y85" i="1"/>
  <c r="U85" i="1"/>
  <c r="Q85" i="1"/>
  <c r="M85" i="1"/>
  <c r="I85" i="1"/>
  <c r="AY84" i="1"/>
  <c r="AQ84" i="1"/>
  <c r="AM84" i="1"/>
  <c r="AE84" i="1"/>
  <c r="U84" i="1"/>
  <c r="Q84" i="1"/>
  <c r="M84" i="1"/>
  <c r="I84" i="1"/>
  <c r="AY83" i="1"/>
  <c r="AQ83" i="1"/>
  <c r="AM83" i="1"/>
  <c r="AE83" i="1"/>
  <c r="U83" i="1"/>
  <c r="Q83" i="1"/>
  <c r="M83" i="1"/>
  <c r="I83" i="1"/>
  <c r="AY82" i="1"/>
  <c r="AQ82" i="1"/>
  <c r="AM82" i="1"/>
  <c r="AI82" i="1"/>
  <c r="AE82" i="1"/>
  <c r="U82" i="1"/>
  <c r="AY81" i="1"/>
  <c r="AQ81" i="1"/>
  <c r="AM81" i="1"/>
  <c r="AI81" i="1"/>
  <c r="AE81" i="1"/>
  <c r="U81" i="1"/>
  <c r="Q81" i="1"/>
  <c r="M81" i="1"/>
  <c r="I81" i="1"/>
  <c r="AY80" i="1"/>
  <c r="AQ80" i="1"/>
  <c r="AM80" i="1"/>
  <c r="AI80" i="1"/>
  <c r="AE80" i="1"/>
  <c r="Y80" i="1"/>
  <c r="U80" i="1"/>
  <c r="Q80" i="1"/>
  <c r="M80" i="1"/>
  <c r="I80" i="1"/>
  <c r="AY79" i="1"/>
  <c r="AQ79" i="1"/>
  <c r="AM79" i="1"/>
  <c r="AE79" i="1"/>
  <c r="Q79" i="1"/>
  <c r="AY77" i="1"/>
  <c r="AQ77" i="1"/>
  <c r="AM77" i="1"/>
  <c r="AE77" i="1"/>
  <c r="U77" i="1"/>
  <c r="Q77" i="1"/>
  <c r="M77" i="1"/>
  <c r="I77" i="1"/>
  <c r="AY74" i="1"/>
  <c r="AQ74" i="1"/>
  <c r="AM74" i="1"/>
  <c r="AE74" i="1"/>
  <c r="U74" i="1"/>
  <c r="Q74" i="1"/>
  <c r="M74" i="1"/>
  <c r="I74" i="1"/>
  <c r="AY73" i="1"/>
  <c r="AQ73" i="1"/>
  <c r="AM73" i="1"/>
  <c r="AE73" i="1"/>
  <c r="U73" i="1"/>
  <c r="Q73" i="1"/>
  <c r="M73" i="1"/>
  <c r="I73" i="1"/>
  <c r="AY72" i="1"/>
  <c r="AQ72" i="1"/>
  <c r="AM72" i="1"/>
  <c r="AE72" i="1"/>
  <c r="U72" i="1"/>
  <c r="Q72" i="1"/>
  <c r="M72" i="1"/>
  <c r="I72" i="1"/>
  <c r="AY71" i="1"/>
  <c r="AQ71" i="1"/>
  <c r="AM71" i="1"/>
  <c r="M71" i="1"/>
  <c r="AY70" i="1"/>
  <c r="M8" i="2"/>
  <c r="AQ70" i="1"/>
  <c r="AM70" i="1"/>
  <c r="J8" i="2"/>
  <c r="H8" i="2"/>
  <c r="E8" i="2"/>
  <c r="AY69" i="1"/>
  <c r="AQ69" i="1"/>
  <c r="AM69" i="1"/>
  <c r="AI69" i="1"/>
  <c r="AE69" i="1"/>
  <c r="U69" i="1"/>
  <c r="Q69" i="1"/>
  <c r="M69" i="1"/>
  <c r="AY68" i="1"/>
  <c r="AQ68" i="1"/>
  <c r="AM68" i="1"/>
  <c r="AE68" i="1"/>
  <c r="U68" i="1"/>
  <c r="Q68" i="1"/>
  <c r="M68" i="1"/>
  <c r="I68" i="1"/>
  <c r="AY67" i="1"/>
  <c r="AQ67" i="1"/>
  <c r="AM67" i="1"/>
  <c r="AE67" i="1"/>
  <c r="U67" i="1"/>
  <c r="Q67" i="1"/>
  <c r="M67" i="1"/>
  <c r="I67" i="1"/>
  <c r="AY66" i="1"/>
  <c r="AQ66" i="1"/>
  <c r="AM66" i="1"/>
  <c r="AE66" i="1"/>
  <c r="U66" i="1"/>
  <c r="Q66" i="1"/>
  <c r="M66" i="1"/>
  <c r="I66" i="1"/>
  <c r="AY65" i="1"/>
  <c r="AQ65" i="1"/>
  <c r="AM65" i="1"/>
  <c r="AE65" i="1"/>
  <c r="U65" i="1"/>
  <c r="Q65" i="1"/>
  <c r="M65" i="1"/>
  <c r="I65" i="1"/>
  <c r="AY64" i="1"/>
  <c r="AQ64" i="1"/>
  <c r="AM64" i="1"/>
  <c r="AE64" i="1"/>
  <c r="U64" i="1"/>
  <c r="Q64" i="1"/>
  <c r="M64" i="1"/>
  <c r="I64" i="1"/>
  <c r="AX63" i="1"/>
  <c r="AX115" i="1" s="1"/>
  <c r="AP63" i="1"/>
  <c r="AP115" i="1" s="1"/>
  <c r="AL63" i="1"/>
  <c r="AL115" i="1" s="1"/>
  <c r="AH63" i="1"/>
  <c r="AH115" i="1" s="1"/>
  <c r="AD63" i="1"/>
  <c r="AD115" i="1" s="1"/>
  <c r="X63" i="1"/>
  <c r="X115" i="1" s="1"/>
  <c r="T63" i="1"/>
  <c r="T115" i="1" s="1"/>
  <c r="P63" i="1"/>
  <c r="P115" i="1" s="1"/>
  <c r="L63" i="1"/>
  <c r="L115" i="1" s="1"/>
  <c r="H63" i="1"/>
  <c r="H115" i="1" s="1"/>
  <c r="E63" i="1"/>
  <c r="AY62" i="1"/>
  <c r="AU62" i="1"/>
  <c r="AQ62" i="1"/>
  <c r="AM62" i="1"/>
  <c r="AI62" i="1"/>
  <c r="AE62" i="1"/>
  <c r="Y62" i="1"/>
  <c r="U62" i="1"/>
  <c r="Q62" i="1"/>
  <c r="M62" i="1"/>
  <c r="I62" i="1"/>
  <c r="E62" i="1"/>
  <c r="M3" i="2"/>
  <c r="L4" i="2"/>
  <c r="K3" i="2"/>
  <c r="K2" i="2"/>
  <c r="J4" i="2"/>
  <c r="J3" i="2"/>
  <c r="J2" i="2"/>
  <c r="H4" i="2"/>
  <c r="H2" i="2"/>
  <c r="G3" i="2"/>
  <c r="G2" i="2"/>
  <c r="F2" i="2"/>
  <c r="E3" i="2"/>
  <c r="E2" i="2"/>
  <c r="D3" i="2"/>
  <c r="C3" i="2"/>
  <c r="C2" i="2"/>
  <c r="B2" i="2"/>
  <c r="AY55" i="1"/>
  <c r="AQ55" i="1"/>
  <c r="AM55" i="1"/>
  <c r="Y55" i="1"/>
  <c r="U55" i="1"/>
  <c r="Q55" i="1"/>
  <c r="M55" i="1"/>
  <c r="I55" i="1"/>
  <c r="E55" i="1"/>
  <c r="AM54" i="1"/>
  <c r="AM111" i="1"/>
  <c r="U54" i="1"/>
  <c r="M54" i="1"/>
  <c r="I54" i="1"/>
  <c r="E54" i="1"/>
  <c r="AY53" i="1"/>
  <c r="AQ53" i="1"/>
  <c r="AM53" i="1"/>
  <c r="Y53" i="1"/>
  <c r="U53" i="1"/>
  <c r="Q53" i="1"/>
  <c r="M53" i="1"/>
  <c r="I53" i="1"/>
  <c r="E53" i="1"/>
  <c r="AY52" i="1"/>
  <c r="AQ52" i="1"/>
  <c r="AM52" i="1"/>
  <c r="Y52" i="1"/>
  <c r="U52" i="1"/>
  <c r="Q52" i="1"/>
  <c r="M52" i="1"/>
  <c r="I52" i="1"/>
  <c r="E52" i="1"/>
  <c r="AY51" i="1"/>
  <c r="AQ51" i="1"/>
  <c r="AM51" i="1"/>
  <c r="AI51" i="1"/>
  <c r="Y51" i="1"/>
  <c r="U51" i="1"/>
  <c r="Q51" i="1"/>
  <c r="M51" i="1"/>
  <c r="I51" i="1"/>
  <c r="E51" i="1"/>
  <c r="AY50" i="1"/>
  <c r="AQ50" i="1"/>
  <c r="AM50" i="1"/>
  <c r="Y50" i="1"/>
  <c r="U50" i="1"/>
  <c r="Q50" i="1"/>
  <c r="M50" i="1"/>
  <c r="I50" i="1"/>
  <c r="E50" i="1"/>
  <c r="AY49" i="1"/>
  <c r="AQ49" i="1"/>
  <c r="AM49" i="1"/>
  <c r="Y49" i="1"/>
  <c r="U49" i="1"/>
  <c r="Q49" i="1"/>
  <c r="M49" i="1"/>
  <c r="I49" i="1"/>
  <c r="E49" i="1"/>
  <c r="AY48" i="1"/>
  <c r="AQ48" i="1"/>
  <c r="AM48" i="1"/>
  <c r="Y48" i="1"/>
  <c r="U48" i="1"/>
  <c r="Q48" i="1"/>
  <c r="M48" i="1"/>
  <c r="I48" i="1"/>
  <c r="E48" i="1"/>
  <c r="AY46" i="1"/>
  <c r="AQ46" i="1"/>
  <c r="AM46" i="1"/>
  <c r="AI46" i="1"/>
  <c r="Y46" i="1"/>
  <c r="U46" i="1"/>
  <c r="Q46" i="1"/>
  <c r="M46" i="1"/>
  <c r="I46" i="1"/>
  <c r="E46" i="1"/>
  <c r="AY45" i="1"/>
  <c r="AQ45" i="1"/>
  <c r="AM45" i="1"/>
  <c r="Y45" i="1"/>
  <c r="U45" i="1"/>
  <c r="Q45" i="1"/>
  <c r="M45" i="1"/>
  <c r="I45" i="1"/>
  <c r="E45" i="1"/>
  <c r="AY44" i="1"/>
  <c r="AQ44" i="1"/>
  <c r="AM44" i="1"/>
  <c r="Y44" i="1"/>
  <c r="Q44" i="1"/>
  <c r="M44" i="1"/>
  <c r="M101" i="1"/>
  <c r="I44" i="1"/>
  <c r="I101" i="1"/>
  <c r="E44" i="1"/>
  <c r="AY43" i="1"/>
  <c r="AQ43" i="1"/>
  <c r="AM43" i="1"/>
  <c r="Y43" i="1"/>
  <c r="U43" i="1"/>
  <c r="Q43" i="1"/>
  <c r="M43" i="1"/>
  <c r="I43" i="1"/>
  <c r="E43" i="1"/>
  <c r="AY42" i="1"/>
  <c r="AQ42" i="1"/>
  <c r="AM42" i="1"/>
  <c r="AI42" i="1"/>
  <c r="Y42" i="1"/>
  <c r="Q42" i="1"/>
  <c r="M42" i="1"/>
  <c r="M99" i="1"/>
  <c r="I42" i="1"/>
  <c r="I99" i="1"/>
  <c r="E42" i="1"/>
  <c r="AY41" i="1"/>
  <c r="AQ41" i="1"/>
  <c r="AM41" i="1"/>
  <c r="Y41" i="1"/>
  <c r="U41" i="1"/>
  <c r="Q41" i="1"/>
  <c r="M41" i="1"/>
  <c r="I41" i="1"/>
  <c r="E41" i="1"/>
  <c r="AY40" i="1"/>
  <c r="AQ40" i="1"/>
  <c r="AM40" i="1"/>
  <c r="Y40" i="1"/>
  <c r="U40" i="1"/>
  <c r="Q40" i="1"/>
  <c r="M40" i="1"/>
  <c r="I40" i="1"/>
  <c r="E40" i="1"/>
  <c r="AY39" i="1"/>
  <c r="AQ39" i="1"/>
  <c r="AM39" i="1"/>
  <c r="AI39" i="1"/>
  <c r="Y39" i="1"/>
  <c r="U39" i="1"/>
  <c r="Q39" i="1"/>
  <c r="M39" i="1"/>
  <c r="I39" i="1"/>
  <c r="E39" i="1"/>
  <c r="AY38" i="1"/>
  <c r="AQ38" i="1"/>
  <c r="AM38" i="1"/>
  <c r="Y38" i="1"/>
  <c r="U38" i="1"/>
  <c r="Q38" i="1"/>
  <c r="M38" i="1"/>
  <c r="I38" i="1"/>
  <c r="E38" i="1"/>
  <c r="AY37" i="1"/>
  <c r="AQ37" i="1"/>
  <c r="AM37" i="1"/>
  <c r="AI37" i="1"/>
  <c r="Y37" i="1"/>
  <c r="U37" i="1"/>
  <c r="Q37" i="1"/>
  <c r="M37" i="1"/>
  <c r="I37" i="1"/>
  <c r="E37" i="1"/>
  <c r="AY36" i="1"/>
  <c r="AQ36" i="1"/>
  <c r="AM36" i="1"/>
  <c r="AI36" i="1"/>
  <c r="Y36" i="1"/>
  <c r="U36" i="1"/>
  <c r="Q36" i="1"/>
  <c r="M36" i="1"/>
  <c r="I36" i="1"/>
  <c r="E36" i="1"/>
  <c r="AY35" i="1"/>
  <c r="AQ35" i="1"/>
  <c r="AM35" i="1"/>
  <c r="AI35" i="1"/>
  <c r="Y35" i="1"/>
  <c r="U35" i="1"/>
  <c r="Q35" i="1"/>
  <c r="M35" i="1"/>
  <c r="I35" i="1"/>
  <c r="E35" i="1"/>
  <c r="AY34" i="1"/>
  <c r="AQ34" i="1"/>
  <c r="AM34" i="1"/>
  <c r="AI34" i="1"/>
  <c r="Y34" i="1"/>
  <c r="U34" i="1"/>
  <c r="Q34" i="1"/>
  <c r="M34" i="1"/>
  <c r="I34" i="1"/>
  <c r="E34" i="1"/>
  <c r="AY33" i="1"/>
  <c r="AQ33" i="1"/>
  <c r="AM33" i="1"/>
  <c r="AI33" i="1"/>
  <c r="Y33" i="1"/>
  <c r="U33" i="1"/>
  <c r="Q33" i="1"/>
  <c r="M33" i="1"/>
  <c r="I33" i="1"/>
  <c r="E33" i="1"/>
  <c r="AY32" i="1"/>
  <c r="AQ32" i="1"/>
  <c r="AM32" i="1"/>
  <c r="AI32" i="1"/>
  <c r="Y32" i="1"/>
  <c r="U32" i="1"/>
  <c r="Q32" i="1"/>
  <c r="M32" i="1"/>
  <c r="I32" i="1"/>
  <c r="E32" i="1"/>
  <c r="AY31" i="1"/>
  <c r="AQ31" i="1"/>
  <c r="AM31" i="1"/>
  <c r="AI31" i="1"/>
  <c r="Y31" i="1"/>
  <c r="U31" i="1"/>
  <c r="Q31" i="1"/>
  <c r="M31" i="1"/>
  <c r="I31" i="1"/>
  <c r="E31" i="1"/>
  <c r="AY30" i="1"/>
  <c r="AQ30" i="1"/>
  <c r="AM30" i="1"/>
  <c r="AI30" i="1"/>
  <c r="Y30" i="1"/>
  <c r="U30" i="1"/>
  <c r="Q30" i="1"/>
  <c r="M30" i="1"/>
  <c r="I30" i="1"/>
  <c r="E30" i="1"/>
  <c r="AY29" i="1"/>
  <c r="AQ29" i="1"/>
  <c r="AM29" i="1"/>
  <c r="AI29" i="1"/>
  <c r="Y29" i="1"/>
  <c r="U29" i="1"/>
  <c r="Q29" i="1"/>
  <c r="M29" i="1"/>
  <c r="I29" i="1"/>
  <c r="E29" i="1"/>
  <c r="AY28" i="1"/>
  <c r="AQ28" i="1"/>
  <c r="AM28" i="1"/>
  <c r="AI28" i="1"/>
  <c r="Y28" i="1"/>
  <c r="U28" i="1"/>
  <c r="Q28" i="1"/>
  <c r="M28" i="1"/>
  <c r="I28" i="1"/>
  <c r="E28" i="1"/>
  <c r="AY27" i="1"/>
  <c r="AQ27" i="1"/>
  <c r="AM27" i="1"/>
  <c r="AI27" i="1"/>
  <c r="Y27" i="1"/>
  <c r="U27" i="1"/>
  <c r="Q27" i="1"/>
  <c r="M27" i="1"/>
  <c r="I27" i="1"/>
  <c r="E27" i="1"/>
  <c r="AY26" i="1"/>
  <c r="AQ26" i="1"/>
  <c r="AM26" i="1"/>
  <c r="AI26" i="1"/>
  <c r="Y26" i="1"/>
  <c r="U26" i="1"/>
  <c r="Q26" i="1"/>
  <c r="M26" i="1"/>
  <c r="I26" i="1"/>
  <c r="E26" i="1"/>
  <c r="AY25" i="1"/>
  <c r="AM25" i="1"/>
  <c r="AI25" i="1"/>
  <c r="Y25" i="1"/>
  <c r="U25" i="1"/>
  <c r="Q25" i="1"/>
  <c r="M25" i="1"/>
  <c r="M82" i="1"/>
  <c r="I25" i="1"/>
  <c r="I82" i="1"/>
  <c r="E25" i="1"/>
  <c r="AY24" i="1"/>
  <c r="AQ24" i="1"/>
  <c r="AM24" i="1"/>
  <c r="AI24" i="1"/>
  <c r="Y24" i="1"/>
  <c r="U24" i="1"/>
  <c r="Q24" i="1"/>
  <c r="M24" i="1"/>
  <c r="I24" i="1"/>
  <c r="E24" i="1"/>
  <c r="AY23" i="1"/>
  <c r="AQ23" i="1"/>
  <c r="AI23" i="1"/>
  <c r="Y23" i="1"/>
  <c r="U23" i="1"/>
  <c r="I23" i="1"/>
  <c r="E23" i="1"/>
  <c r="M2" i="2"/>
  <c r="U79" i="1"/>
  <c r="I22" i="1"/>
  <c r="E22" i="1"/>
  <c r="I17" i="1"/>
  <c r="E17" i="1"/>
  <c r="AI16" i="1"/>
  <c r="I16" i="1"/>
  <c r="E16" i="1"/>
  <c r="AQ15" i="1"/>
  <c r="AI15" i="1"/>
  <c r="U15" i="1"/>
  <c r="M15" i="1"/>
  <c r="I15" i="1"/>
  <c r="E15" i="1"/>
  <c r="AY14" i="1"/>
  <c r="AQ14" i="1"/>
  <c r="AM14" i="1"/>
  <c r="AI14" i="1"/>
  <c r="Y14" i="1"/>
  <c r="U14" i="1"/>
  <c r="Q71" i="1"/>
  <c r="M14" i="1"/>
  <c r="I14" i="1"/>
  <c r="E14" i="1"/>
  <c r="AY13" i="1"/>
  <c r="AQ13" i="1"/>
  <c r="AM13" i="1"/>
  <c r="AI13" i="1"/>
  <c r="Y13" i="1"/>
  <c r="Q13" i="1"/>
  <c r="Q70" i="1"/>
  <c r="M13" i="1"/>
  <c r="I13" i="1"/>
  <c r="I70" i="1"/>
  <c r="E13" i="1"/>
  <c r="AY12" i="1"/>
  <c r="AQ12" i="1"/>
  <c r="AM12" i="1"/>
  <c r="AI12" i="1"/>
  <c r="Y12" i="1"/>
  <c r="Q12" i="1"/>
  <c r="M12" i="1"/>
  <c r="I12" i="1"/>
  <c r="E12" i="1"/>
  <c r="AI11" i="1"/>
  <c r="M11" i="1"/>
  <c r="I11" i="1"/>
  <c r="E11" i="1"/>
  <c r="AY10" i="1"/>
  <c r="AQ10" i="1"/>
  <c r="AM10" i="1"/>
  <c r="AI10" i="1"/>
  <c r="Y10" i="1"/>
  <c r="Q10" i="1"/>
  <c r="M10" i="1"/>
  <c r="I10" i="1"/>
  <c r="E10" i="1"/>
  <c r="AY9" i="1"/>
  <c r="AQ9" i="1"/>
  <c r="AM9" i="1"/>
  <c r="AI9" i="1"/>
  <c r="Y9" i="1"/>
  <c r="U9" i="1"/>
  <c r="Q9" i="1"/>
  <c r="M9" i="1"/>
  <c r="I9" i="1"/>
  <c r="E9" i="1"/>
  <c r="AY8" i="1"/>
  <c r="AQ8" i="1"/>
  <c r="AM8" i="1"/>
  <c r="AI8" i="1"/>
  <c r="Y8" i="1"/>
  <c r="U8" i="1"/>
  <c r="Q8" i="1"/>
  <c r="M8" i="1"/>
  <c r="I8" i="1"/>
  <c r="E8" i="1"/>
  <c r="AY7" i="1"/>
  <c r="AQ7" i="1"/>
  <c r="AM7" i="1"/>
  <c r="AI7" i="1"/>
  <c r="Y7" i="1"/>
  <c r="U7" i="1"/>
  <c r="Q7" i="1"/>
  <c r="M7" i="1"/>
  <c r="I7" i="1"/>
  <c r="E7" i="1"/>
  <c r="AY6" i="1"/>
  <c r="AQ6" i="1"/>
  <c r="AM6" i="1"/>
  <c r="AI6" i="1"/>
  <c r="Y6" i="1"/>
  <c r="U6" i="1"/>
  <c r="Q6" i="1"/>
  <c r="M6" i="1"/>
  <c r="I6" i="1"/>
  <c r="E6" i="1"/>
  <c r="AY5" i="1"/>
  <c r="AU5" i="1"/>
  <c r="AQ5" i="1"/>
  <c r="AM5" i="1"/>
  <c r="AI5" i="1"/>
  <c r="AE5" i="1"/>
  <c r="Y5" i="1"/>
  <c r="U5" i="1"/>
  <c r="Q5" i="1"/>
  <c r="M5" i="1"/>
  <c r="I5" i="1"/>
  <c r="E5" i="1"/>
  <c r="AA3" i="1"/>
  <c r="BB109" i="1" l="1"/>
  <c r="BB107" i="1"/>
  <c r="BB102" i="1"/>
  <c r="E69" i="1"/>
  <c r="BB89" i="1"/>
  <c r="E95" i="1"/>
  <c r="BB95" i="1"/>
  <c r="BB98" i="1"/>
  <c r="E103" i="1"/>
  <c r="BB103" i="1"/>
  <c r="BB112" i="1"/>
  <c r="E86" i="1"/>
  <c r="J225" i="1"/>
  <c r="E71" i="1"/>
  <c r="E88" i="1"/>
  <c r="BB88" i="1"/>
  <c r="E97" i="1"/>
  <c r="BB97" i="1"/>
  <c r="E65" i="1"/>
  <c r="E67" i="1"/>
  <c r="E108" i="1"/>
  <c r="BB108" i="1"/>
  <c r="E93" i="1"/>
  <c r="BB93" i="1"/>
  <c r="J221" i="1"/>
  <c r="J224" i="1"/>
  <c r="E111" i="1"/>
  <c r="E66" i="1"/>
  <c r="E100" i="1"/>
  <c r="BB100" i="1"/>
  <c r="AI112" i="1"/>
  <c r="J227" i="1"/>
  <c r="E106" i="1"/>
  <c r="BB106" i="1"/>
  <c r="E77" i="1"/>
  <c r="J222" i="1"/>
  <c r="E72" i="1"/>
  <c r="E87" i="1"/>
  <c r="BB90" i="1"/>
  <c r="BB96" i="1"/>
  <c r="E74" i="1"/>
  <c r="E79" i="1"/>
  <c r="E110" i="1"/>
  <c r="BB110" i="1"/>
  <c r="J223" i="1"/>
  <c r="E73" i="1"/>
  <c r="E91" i="1"/>
  <c r="E94" i="1"/>
  <c r="BB94" i="1"/>
  <c r="E68" i="1"/>
  <c r="E105" i="1"/>
  <c r="BB105" i="1"/>
  <c r="E64" i="1"/>
  <c r="C178" i="1"/>
  <c r="C230" i="1" s="1"/>
  <c r="AE63" i="1"/>
  <c r="AM63" i="1"/>
  <c r="M170" i="1"/>
  <c r="M63" i="1"/>
  <c r="U63" i="1"/>
  <c r="D127" i="1"/>
  <c r="G183" i="1"/>
  <c r="D195" i="1"/>
  <c r="D211" i="1"/>
  <c r="J182" i="1"/>
  <c r="G144" i="1"/>
  <c r="G145" i="1"/>
  <c r="G148" i="1"/>
  <c r="G154" i="1"/>
  <c r="G155" i="1"/>
  <c r="G149" i="1"/>
  <c r="G156" i="1"/>
  <c r="G167" i="1"/>
  <c r="G168" i="1"/>
  <c r="D160" i="1"/>
  <c r="D158" i="1"/>
  <c r="D143" i="1"/>
  <c r="D148" i="1"/>
  <c r="D150" i="1"/>
  <c r="D156" i="1"/>
  <c r="G188" i="1"/>
  <c r="G158" i="1"/>
  <c r="G125" i="1"/>
  <c r="G126" i="1"/>
  <c r="G127" i="1"/>
  <c r="D139" i="1"/>
  <c r="G196" i="1"/>
  <c r="G225" i="1"/>
  <c r="G210" i="1"/>
  <c r="G131" i="1"/>
  <c r="G132" i="1"/>
  <c r="D125" i="1"/>
  <c r="D141" i="1"/>
  <c r="D146" i="1"/>
  <c r="D154" i="1"/>
  <c r="M164" i="1"/>
  <c r="D121" i="1"/>
  <c r="M157" i="1"/>
  <c r="M149" i="1"/>
  <c r="M216" i="1"/>
  <c r="M146" i="1"/>
  <c r="M147" i="1"/>
  <c r="M150" i="1"/>
  <c r="M151" i="1"/>
  <c r="M153" i="1"/>
  <c r="M155" i="1"/>
  <c r="M160" i="1"/>
  <c r="M161" i="1"/>
  <c r="M165" i="1"/>
  <c r="M166" i="1"/>
  <c r="M168" i="1"/>
  <c r="M213" i="1"/>
  <c r="M148" i="1"/>
  <c r="M163" i="1"/>
  <c r="M159" i="1"/>
  <c r="M152" i="1"/>
  <c r="M167" i="1"/>
  <c r="M206" i="1"/>
  <c r="M215" i="1"/>
  <c r="M154" i="1"/>
  <c r="M156" i="1"/>
  <c r="J127" i="1"/>
  <c r="J141" i="1"/>
  <c r="J132" i="1"/>
  <c r="J179" i="1"/>
  <c r="J159" i="1"/>
  <c r="J189" i="1"/>
  <c r="J217" i="1"/>
  <c r="J180" i="1"/>
  <c r="J151" i="1"/>
  <c r="J153" i="1"/>
  <c r="J157" i="1"/>
  <c r="J122" i="1"/>
  <c r="J137" i="1"/>
  <c r="J145" i="1"/>
  <c r="J147" i="1"/>
  <c r="J139" i="1"/>
  <c r="J143" i="1"/>
  <c r="J148" i="1"/>
  <c r="J163" i="1"/>
  <c r="J164" i="1"/>
  <c r="J166" i="1"/>
  <c r="J124" i="1"/>
  <c r="J130" i="1"/>
  <c r="J168" i="1"/>
  <c r="J126" i="1"/>
  <c r="J155" i="1"/>
  <c r="J146" i="1"/>
  <c r="J131" i="1"/>
  <c r="J149" i="1"/>
  <c r="J161" i="1"/>
  <c r="BC35" i="1"/>
  <c r="J183" i="1"/>
  <c r="J192" i="1"/>
  <c r="J135" i="1"/>
  <c r="J138" i="1"/>
  <c r="J140" i="1"/>
  <c r="J150" i="1"/>
  <c r="J160" i="1"/>
  <c r="J203" i="1"/>
  <c r="J220" i="1"/>
  <c r="J142" i="1"/>
  <c r="J152" i="1"/>
  <c r="J170" i="1"/>
  <c r="J181" i="1"/>
  <c r="AE71" i="1"/>
  <c r="J209" i="1"/>
  <c r="J211" i="1"/>
  <c r="J123" i="1"/>
  <c r="J187" i="1"/>
  <c r="J144" i="1"/>
  <c r="J154" i="1"/>
  <c r="J165" i="1"/>
  <c r="J188" i="1"/>
  <c r="J125" i="1"/>
  <c r="J128" i="1"/>
  <c r="J129" i="1"/>
  <c r="J156" i="1"/>
  <c r="J158" i="1"/>
  <c r="J167" i="1"/>
  <c r="BC40" i="1"/>
  <c r="Y81" i="1"/>
  <c r="BC48" i="1"/>
  <c r="BC53" i="1"/>
  <c r="G181" i="1"/>
  <c r="BC32" i="1"/>
  <c r="G221" i="1"/>
  <c r="G122" i="1"/>
  <c r="G138" i="1"/>
  <c r="G150" i="1"/>
  <c r="G143" i="1"/>
  <c r="G164" i="1"/>
  <c r="G179" i="1"/>
  <c r="G192" i="1"/>
  <c r="G123" i="1"/>
  <c r="G124" i="1"/>
  <c r="G170" i="1"/>
  <c r="G153" i="1"/>
  <c r="G140" i="1"/>
  <c r="G165" i="1"/>
  <c r="G166" i="1"/>
  <c r="G135" i="1"/>
  <c r="G198" i="1"/>
  <c r="G212" i="1"/>
  <c r="G130" i="1"/>
  <c r="G141" i="1"/>
  <c r="G161" i="1"/>
  <c r="G208" i="1"/>
  <c r="G223" i="1"/>
  <c r="G227" i="1"/>
  <c r="G146" i="1"/>
  <c r="G147" i="1"/>
  <c r="G139" i="1"/>
  <c r="G151" i="1"/>
  <c r="G160" i="1"/>
  <c r="G142" i="1"/>
  <c r="G152" i="1"/>
  <c r="G163" i="1"/>
  <c r="G206" i="1"/>
  <c r="G218" i="1"/>
  <c r="BC34" i="1"/>
  <c r="BC46" i="1"/>
  <c r="D124" i="1"/>
  <c r="D209" i="1"/>
  <c r="BC33" i="1"/>
  <c r="BC41" i="1"/>
  <c r="BC45" i="1"/>
  <c r="D169" i="1"/>
  <c r="D138" i="1"/>
  <c r="BC51" i="1"/>
  <c r="BC37" i="1"/>
  <c r="BC50" i="1"/>
  <c r="D131" i="1"/>
  <c r="D155" i="1"/>
  <c r="D165" i="1"/>
  <c r="D170" i="1"/>
  <c r="BC36" i="1"/>
  <c r="BC49" i="1"/>
  <c r="D167" i="1"/>
  <c r="BC38" i="1"/>
  <c r="D123" i="1"/>
  <c r="D135" i="1"/>
  <c r="D129" i="1"/>
  <c r="D227" i="1"/>
  <c r="D142" i="1"/>
  <c r="I97" i="1"/>
  <c r="D217" i="1"/>
  <c r="BC31" i="1"/>
  <c r="BC39" i="1"/>
  <c r="BC52" i="1"/>
  <c r="BC55" i="1"/>
  <c r="D200" i="1"/>
  <c r="D204" i="1"/>
  <c r="D220" i="1"/>
  <c r="D126" i="1"/>
  <c r="D144" i="1"/>
  <c r="D152" i="1"/>
  <c r="D163" i="1"/>
  <c r="BC5" i="1"/>
  <c r="D166" i="1"/>
  <c r="D168" i="1"/>
  <c r="D122" i="1"/>
  <c r="D161" i="1"/>
  <c r="E96" i="1"/>
  <c r="D164" i="1"/>
  <c r="BC43" i="1"/>
  <c r="D145" i="1"/>
  <c r="D151" i="1"/>
  <c r="BC54" i="1"/>
  <c r="G128" i="1"/>
  <c r="U70" i="1"/>
  <c r="M79" i="1"/>
  <c r="Y71" i="1"/>
  <c r="G157" i="1"/>
  <c r="U99" i="1"/>
  <c r="U42" i="1"/>
  <c r="Y70" i="1"/>
  <c r="G194" i="1"/>
  <c r="Y79" i="1"/>
  <c r="G159" i="1"/>
  <c r="U101" i="1"/>
  <c r="Q111" i="1"/>
  <c r="Q54" i="1"/>
  <c r="M70" i="1"/>
  <c r="G129" i="1"/>
  <c r="U71" i="1"/>
  <c r="AQ111" i="1"/>
  <c r="AQ54" i="1"/>
  <c r="B4" i="2"/>
  <c r="E58" i="1"/>
  <c r="Y54" i="1"/>
  <c r="M169" i="1"/>
  <c r="AY111" i="1"/>
  <c r="AY54" i="1"/>
  <c r="BC42" i="1"/>
  <c r="F8" i="2"/>
  <c r="I8" i="2"/>
  <c r="J195" i="1"/>
  <c r="D213" i="1"/>
  <c r="E98" i="1"/>
  <c r="F178" i="1"/>
  <c r="F230" i="1" s="1"/>
  <c r="G180" i="1"/>
  <c r="G182" i="1"/>
  <c r="G8" i="2"/>
  <c r="L8" i="2"/>
  <c r="D198" i="1"/>
  <c r="D128" i="1"/>
  <c r="G137" i="1"/>
  <c r="D140" i="1"/>
  <c r="D159" i="1"/>
  <c r="BB101" i="1"/>
  <c r="I63" i="1"/>
  <c r="Y63" i="1"/>
  <c r="AQ63" i="1"/>
  <c r="AI64" i="1"/>
  <c r="Y65" i="1"/>
  <c r="AI66" i="1"/>
  <c r="Y67" i="1"/>
  <c r="AI68" i="1"/>
  <c r="I69" i="1"/>
  <c r="D8" i="2"/>
  <c r="AI70" i="1"/>
  <c r="AI71" i="1"/>
  <c r="AI72" i="1"/>
  <c r="Y73" i="1"/>
  <c r="AI74" i="1"/>
  <c r="Y77" i="1"/>
  <c r="AI79" i="1"/>
  <c r="E83" i="1"/>
  <c r="D199" i="1"/>
  <c r="Y95" i="1"/>
  <c r="AI96" i="1"/>
  <c r="Y101" i="1"/>
  <c r="J169" i="1"/>
  <c r="AE111" i="1"/>
  <c r="AU111" i="1"/>
  <c r="L2" i="2"/>
  <c r="D179" i="1"/>
  <c r="D181" i="1"/>
  <c r="D183" i="1"/>
  <c r="Y69" i="1"/>
  <c r="D187" i="1"/>
  <c r="D189" i="1"/>
  <c r="E80" i="1"/>
  <c r="Y82" i="1"/>
  <c r="Y83" i="1"/>
  <c r="E84" i="1"/>
  <c r="G199" i="1"/>
  <c r="Y84" i="1"/>
  <c r="E85" i="1"/>
  <c r="G200" i="1"/>
  <c r="D201" i="1"/>
  <c r="D202" i="1"/>
  <c r="M203" i="1"/>
  <c r="E89" i="1"/>
  <c r="J207" i="1"/>
  <c r="Y93" i="1"/>
  <c r="AI94" i="1"/>
  <c r="B3" i="2"/>
  <c r="L3" i="2"/>
  <c r="B8" i="2"/>
  <c r="G195" i="1"/>
  <c r="J196" i="1"/>
  <c r="Q82" i="1"/>
  <c r="G201" i="1"/>
  <c r="Y86" i="1"/>
  <c r="G202" i="1"/>
  <c r="G204" i="1"/>
  <c r="J205" i="1"/>
  <c r="Y91" i="1"/>
  <c r="AI92" i="1"/>
  <c r="I178" i="1"/>
  <c r="I230" i="1" s="1"/>
  <c r="G187" i="1"/>
  <c r="G189" i="1"/>
  <c r="D207" i="1"/>
  <c r="D157" i="1"/>
  <c r="AM58" i="1"/>
  <c r="Q63" i="1"/>
  <c r="AI63" i="1"/>
  <c r="AY63" i="1"/>
  <c r="Y64" i="1"/>
  <c r="AI65" i="1"/>
  <c r="Y66" i="1"/>
  <c r="AI67" i="1"/>
  <c r="Y68" i="1"/>
  <c r="J184" i="1"/>
  <c r="E70" i="1"/>
  <c r="K8" i="2"/>
  <c r="Y72" i="1"/>
  <c r="AI73" i="1"/>
  <c r="Y74" i="1"/>
  <c r="AI77" i="1"/>
  <c r="D196" i="1"/>
  <c r="J198" i="1"/>
  <c r="AI83" i="1"/>
  <c r="J199" i="1"/>
  <c r="AI88" i="1"/>
  <c r="M204" i="1"/>
  <c r="D205" i="1"/>
  <c r="AU91" i="1"/>
  <c r="E92" i="1"/>
  <c r="D137" i="1"/>
  <c r="G169" i="1"/>
  <c r="U111" i="1"/>
  <c r="D180" i="1"/>
  <c r="D182" i="1"/>
  <c r="D184" i="1"/>
  <c r="C8" i="2"/>
  <c r="AE70" i="1"/>
  <c r="D188" i="1"/>
  <c r="D192" i="1"/>
  <c r="I79" i="1"/>
  <c r="E81" i="1"/>
  <c r="AI84" i="1"/>
  <c r="J200" i="1"/>
  <c r="AI85" i="1"/>
  <c r="J201" i="1"/>
  <c r="D203" i="1"/>
  <c r="AU89" i="1"/>
  <c r="E90" i="1"/>
  <c r="G213" i="1"/>
  <c r="J214" i="1"/>
  <c r="AI101" i="1"/>
  <c r="E102" i="1"/>
  <c r="M221" i="1"/>
  <c r="D222" i="1"/>
  <c r="M223" i="1"/>
  <c r="D224" i="1"/>
  <c r="M225" i="1"/>
  <c r="J202" i="1"/>
  <c r="G203" i="1"/>
  <c r="J204" i="1"/>
  <c r="G205" i="1"/>
  <c r="J206" i="1"/>
  <c r="G207" i="1"/>
  <c r="J208" i="1"/>
  <c r="G209" i="1"/>
  <c r="J210" i="1"/>
  <c r="G211" i="1"/>
  <c r="J212" i="1"/>
  <c r="Y98" i="1"/>
  <c r="AI99" i="1"/>
  <c r="AU99" i="1"/>
  <c r="D215" i="1"/>
  <c r="G217" i="1"/>
  <c r="J218" i="1"/>
  <c r="G220" i="1"/>
  <c r="AU106" i="1"/>
  <c r="E107" i="1"/>
  <c r="AU108" i="1"/>
  <c r="E109" i="1"/>
  <c r="AU110" i="1"/>
  <c r="D226" i="1"/>
  <c r="D130" i="1"/>
  <c r="G222" i="1"/>
  <c r="G224" i="1"/>
  <c r="M205" i="1"/>
  <c r="D206" i="1"/>
  <c r="M207" i="1"/>
  <c r="D208" i="1"/>
  <c r="M209" i="1"/>
  <c r="D210" i="1"/>
  <c r="M211" i="1"/>
  <c r="D212" i="1"/>
  <c r="AU98" i="1"/>
  <c r="G215" i="1"/>
  <c r="M217" i="1"/>
  <c r="D218" i="1"/>
  <c r="M220" i="1"/>
  <c r="D221" i="1"/>
  <c r="AI106" i="1"/>
  <c r="Y107" i="1"/>
  <c r="AI108" i="1"/>
  <c r="Y109" i="1"/>
  <c r="AI110" i="1"/>
  <c r="AE112" i="1"/>
  <c r="G121" i="1"/>
  <c r="D147" i="1"/>
  <c r="J213" i="1"/>
  <c r="AM99" i="1"/>
  <c r="AY99" i="1"/>
  <c r="M222" i="1"/>
  <c r="D223" i="1"/>
  <c r="M224" i="1"/>
  <c r="D225" i="1"/>
  <c r="M227" i="1"/>
  <c r="D132" i="1"/>
  <c r="D153" i="1"/>
  <c r="J121" i="1"/>
  <c r="D149" i="1"/>
  <c r="M208" i="1"/>
  <c r="M210" i="1"/>
  <c r="M212" i="1"/>
  <c r="J215" i="1"/>
  <c r="J216" i="1"/>
  <c r="AU101" i="1"/>
  <c r="M218" i="1"/>
  <c r="Y106" i="1"/>
  <c r="AI107" i="1"/>
  <c r="Y108" i="1"/>
  <c r="AI109" i="1"/>
  <c r="Y110" i="1"/>
  <c r="E112" i="1"/>
  <c r="U112" i="1"/>
  <c r="BB99" i="1" l="1"/>
  <c r="BB111" i="1"/>
  <c r="K9" i="2"/>
  <c r="I115" i="1"/>
  <c r="AQ115" i="1"/>
  <c r="B9" i="2"/>
  <c r="M115" i="1"/>
  <c r="F9" i="2"/>
  <c r="M158" i="1"/>
  <c r="G173" i="1"/>
  <c r="G214" i="1"/>
  <c r="J194" i="1"/>
  <c r="G216" i="1"/>
  <c r="D185" i="1"/>
  <c r="AU58" i="1"/>
  <c r="M214" i="1"/>
  <c r="J185" i="1"/>
  <c r="G184" i="1"/>
  <c r="J173" i="1"/>
  <c r="G186" i="1"/>
  <c r="G197" i="1"/>
  <c r="D194" i="1"/>
  <c r="BC44" i="1"/>
  <c r="D173" i="1"/>
  <c r="I71" i="1"/>
  <c r="D197" i="1"/>
  <c r="E82" i="1"/>
  <c r="M4" i="2"/>
  <c r="AY58" i="1"/>
  <c r="G185" i="1"/>
  <c r="E4" i="2"/>
  <c r="Q58" i="1"/>
  <c r="J9" i="2"/>
  <c r="AM115" i="1"/>
  <c r="M226" i="1"/>
  <c r="J186" i="1"/>
  <c r="G4" i="2"/>
  <c r="Y58" i="1"/>
  <c r="C4" i="2"/>
  <c r="I58" i="1"/>
  <c r="D4" i="2"/>
  <c r="M58" i="1"/>
  <c r="K4" i="2"/>
  <c r="AQ58" i="1"/>
  <c r="I4" i="2"/>
  <c r="AI58" i="1"/>
  <c r="D178" i="1"/>
  <c r="I9" i="2"/>
  <c r="AI115" i="1"/>
  <c r="D216" i="1"/>
  <c r="E101" i="1"/>
  <c r="AI111" i="1"/>
  <c r="J178" i="1"/>
  <c r="D214" i="1"/>
  <c r="E99" i="1"/>
  <c r="D186" i="1"/>
  <c r="G9" i="2"/>
  <c r="Y115" i="1"/>
  <c r="F4" i="2"/>
  <c r="U58" i="1"/>
  <c r="G178" i="1"/>
  <c r="J197" i="1"/>
  <c r="G226" i="1"/>
  <c r="Y111" i="1"/>
  <c r="J226" i="1" l="1"/>
  <c r="D9" i="2"/>
  <c r="E115" i="1"/>
  <c r="U115" i="1"/>
  <c r="J230" i="1"/>
  <c r="G230" i="1"/>
  <c r="M9" i="2"/>
  <c r="AY115" i="1"/>
  <c r="C9" i="2"/>
  <c r="H9" i="2"/>
  <c r="AE115" i="1"/>
  <c r="E9" i="2"/>
  <c r="Q115" i="1"/>
  <c r="D230" i="1"/>
  <c r="M123" i="1"/>
  <c r="M143" i="1"/>
  <c r="M126" i="1"/>
  <c r="BC30" i="1"/>
  <c r="BC8" i="1"/>
  <c r="M139" i="1"/>
  <c r="BC20" i="1"/>
  <c r="BC10" i="1"/>
  <c r="BC23" i="1"/>
  <c r="M135" i="1"/>
  <c r="BC28" i="1"/>
  <c r="M144" i="1"/>
  <c r="M142" i="1"/>
  <c r="BC11" i="1"/>
  <c r="M129" i="1"/>
  <c r="BC26" i="1"/>
  <c r="M138" i="1"/>
  <c r="BC15" i="1"/>
  <c r="M145" i="1"/>
  <c r="BC16" i="1"/>
  <c r="BC25" i="1"/>
  <c r="BC7" i="1"/>
  <c r="BC17" i="1"/>
  <c r="BC24" i="1"/>
  <c r="AU11" i="1"/>
  <c r="M140" i="1"/>
  <c r="M127" i="1"/>
  <c r="BC12" i="1"/>
  <c r="M132" i="1"/>
  <c r="M133" i="1"/>
  <c r="BC22" i="1"/>
  <c r="M122" i="1"/>
  <c r="M131" i="1"/>
  <c r="BC19" i="1"/>
  <c r="M137" i="1"/>
  <c r="AU13" i="1"/>
  <c r="BC27" i="1"/>
  <c r="M128" i="1"/>
  <c r="L121" i="1"/>
  <c r="AU10" i="1"/>
  <c r="AU14" i="1"/>
  <c r="AU9" i="1"/>
  <c r="AU6" i="1"/>
  <c r="BC14" i="1"/>
  <c r="AU8" i="1"/>
  <c r="M134" i="1"/>
  <c r="BB83" i="1"/>
  <c r="M124" i="1"/>
  <c r="BB80" i="1"/>
  <c r="BC18" i="1"/>
  <c r="AU15" i="1"/>
  <c r="BB86" i="1"/>
  <c r="M130" i="1"/>
  <c r="AU12" i="1"/>
  <c r="AU7" i="1"/>
  <c r="BB73" i="1"/>
  <c r="AT63" i="1"/>
  <c r="AU16" i="1"/>
  <c r="BC13" i="1"/>
  <c r="BC29" i="1"/>
  <c r="BB65" i="1"/>
  <c r="BB70" i="1"/>
  <c r="BB75" i="1"/>
  <c r="BB66" i="1"/>
  <c r="BB82" i="1"/>
  <c r="BB77" i="1"/>
  <c r="M141" i="1"/>
  <c r="M121" i="1" l="1"/>
  <c r="L173" i="1"/>
  <c r="BB63" i="1"/>
  <c r="AT115" i="1"/>
  <c r="M196" i="1"/>
  <c r="BB81" i="1"/>
  <c r="AU71" i="1"/>
  <c r="BB71" i="1"/>
  <c r="AU79" i="1"/>
  <c r="BB79" i="1"/>
  <c r="AU74" i="1"/>
  <c r="BB74" i="1"/>
  <c r="M183" i="1"/>
  <c r="BB68" i="1"/>
  <c r="M179" i="1"/>
  <c r="BB64" i="1"/>
  <c r="M191" i="1"/>
  <c r="BB76" i="1"/>
  <c r="AU84" i="1"/>
  <c r="BB84" i="1"/>
  <c r="M200" i="1"/>
  <c r="BB85" i="1"/>
  <c r="M184" i="1"/>
  <c r="BB69" i="1"/>
  <c r="M202" i="1"/>
  <c r="BB87" i="1"/>
  <c r="AU72" i="1"/>
  <c r="BB72" i="1"/>
  <c r="AU67" i="1"/>
  <c r="BB67" i="1"/>
  <c r="AU86" i="1"/>
  <c r="M195" i="1"/>
  <c r="BC6" i="1"/>
  <c r="BC58" i="1"/>
  <c r="M189" i="1"/>
  <c r="AU65" i="1"/>
  <c r="AU80" i="1"/>
  <c r="M188" i="1"/>
  <c r="AU73" i="1"/>
  <c r="M198" i="1"/>
  <c r="M180" i="1"/>
  <c r="M194" i="1"/>
  <c r="AU87" i="1"/>
  <c r="M186" i="1"/>
  <c r="M199" i="1"/>
  <c r="M197" i="1"/>
  <c r="AU75" i="1"/>
  <c r="M182" i="1"/>
  <c r="AU81" i="1"/>
  <c r="L178" i="1"/>
  <c r="AU68" i="1"/>
  <c r="AU76" i="1"/>
  <c r="AU64" i="1"/>
  <c r="AU83" i="1"/>
  <c r="M201" i="1"/>
  <c r="M190" i="1"/>
  <c r="AU69" i="1"/>
  <c r="AU63" i="1"/>
  <c r="M181" i="1"/>
  <c r="M173" i="1"/>
  <c r="M125" i="1"/>
  <c r="AU85" i="1"/>
  <c r="M185" i="1"/>
  <c r="AU70" i="1"/>
  <c r="L9" i="2"/>
  <c r="M187" i="1"/>
  <c r="AU77" i="1"/>
  <c r="M192" i="1"/>
  <c r="AU66" i="1"/>
  <c r="AU82" i="1"/>
  <c r="BB115" i="1" l="1"/>
  <c r="M178" i="1"/>
  <c r="L230" i="1"/>
  <c r="AU115" i="1"/>
  <c r="M230" i="1"/>
  <c r="L7" i="2"/>
  <c r="F3" i="2"/>
</calcChain>
</file>

<file path=xl/sharedStrings.xml><?xml version="1.0" encoding="utf-8"?>
<sst xmlns="http://schemas.openxmlformats.org/spreadsheetml/2006/main" count="469" uniqueCount="116">
  <si>
    <t>Sales budget performance management</t>
  </si>
  <si>
    <t>Budget/Results</t>
  </si>
  <si>
    <t>Feb</t>
  </si>
  <si>
    <t>Mar</t>
  </si>
  <si>
    <t>Apr</t>
  </si>
  <si>
    <t>May</t>
  </si>
  <si>
    <t>Jun</t>
  </si>
  <si>
    <t>JULY</t>
  </si>
  <si>
    <t>AUGUST</t>
  </si>
  <si>
    <t>SEPTEMBER</t>
  </si>
  <si>
    <t>OCTOBER</t>
  </si>
  <si>
    <t>NOVEMBER</t>
  </si>
  <si>
    <t>DECEMBER</t>
  </si>
  <si>
    <t>Total</t>
    <phoneticPr fontId="0"/>
  </si>
  <si>
    <t>เป้าขาย</t>
  </si>
  <si>
    <t>คาดการณ์
ยอดขายล่าสุด</t>
  </si>
  <si>
    <t>Relative to budget</t>
    <phoneticPr fontId="0"/>
  </si>
  <si>
    <t>คาดการณ์
เป้าขาย</t>
  </si>
  <si>
    <t>Chain Restaurant</t>
  </si>
  <si>
    <t>Sizzler</t>
  </si>
  <si>
    <t>Fuji</t>
  </si>
  <si>
    <t xml:space="preserve">Zen </t>
  </si>
  <si>
    <t xml:space="preserve">ไดกิ </t>
  </si>
  <si>
    <t>สามเสน</t>
  </si>
  <si>
    <t>เดอะ ฟู๊ดซีเลคชั่น</t>
  </si>
  <si>
    <t>ฟู๊ดมี</t>
  </si>
  <si>
    <t>เมก้ามูฟ</t>
  </si>
  <si>
    <t>แกลมเมอรัส</t>
  </si>
  <si>
    <t>Oishi</t>
  </si>
  <si>
    <t>BNN ตี๋น้อย</t>
  </si>
  <si>
    <t>เชสเตอร์ฟู๊ด</t>
  </si>
  <si>
    <t>JCK</t>
  </si>
  <si>
    <t>other (อีซี่สเต็ก,คิงคอง,ซูกิซิ,เอสบีแอลจี,สีฟ้า,นิกิวาอิ,ราชารส,ชาบูเชน,ชาชิมิ)</t>
  </si>
  <si>
    <t>Supermarket</t>
  </si>
  <si>
    <t>Donki</t>
  </si>
  <si>
    <t>Themall</t>
  </si>
  <si>
    <t>Makro</t>
  </si>
  <si>
    <t>Rimping</t>
  </si>
  <si>
    <t>Maxvalue</t>
  </si>
  <si>
    <t>Central food</t>
  </si>
  <si>
    <t>Other (เจแวลู,ยูเนี่ยนพี)</t>
  </si>
  <si>
    <t>Agency</t>
  </si>
  <si>
    <t>Panfood</t>
  </si>
  <si>
    <t>Siam Food</t>
  </si>
  <si>
    <t>C.T.I.</t>
  </si>
  <si>
    <t>KK &amp;K</t>
  </si>
  <si>
    <t>รสดีเด็ด</t>
  </si>
  <si>
    <t>จาโกต้า</t>
  </si>
  <si>
    <t>สยามสมุทรวาริน</t>
  </si>
  <si>
    <t>ฟู๊ดคลาสสิค</t>
  </si>
  <si>
    <t>786 ฮาลาล</t>
  </si>
  <si>
    <t xml:space="preserve">เอกพจน์ </t>
  </si>
  <si>
    <t>แจลลุกซ์</t>
  </si>
  <si>
    <t>เอบิซึ</t>
  </si>
  <si>
    <t>เอบีซึ</t>
  </si>
  <si>
    <t>other (บีฟบราเทอร์,เดอะพีเคแอลเจ,อังคณา,โตโยต้าทูโช่,โดโบกุ,เดอะฟู๊ดเวิร์ค,สุภัทรีย์)</t>
  </si>
  <si>
    <t>Agency ในเครือ (กิติ์,ฟู๊ดเฮฟเว่น,ขันเนื้อ,nikuya,บีฟแคทอรี่)</t>
  </si>
  <si>
    <t>Restaurant</t>
  </si>
  <si>
    <t>เพิ่มพลัง</t>
  </si>
  <si>
    <t>สตรองซอส</t>
  </si>
  <si>
    <t>ไทยคราฟ</t>
  </si>
  <si>
    <t>มิดวินเทอร์</t>
  </si>
  <si>
    <t>มาม่าแบร์</t>
  </si>
  <si>
    <t>นายน์สลัด</t>
  </si>
  <si>
    <t xml:space="preserve">Other </t>
  </si>
  <si>
    <t>ซูซิมั้ย</t>
  </si>
  <si>
    <t>Total(formulation)</t>
    <phoneticPr fontId="0"/>
  </si>
  <si>
    <t>Prior period / Current period</t>
    <phoneticPr fontId="0"/>
  </si>
  <si>
    <t>Jan</t>
  </si>
  <si>
    <t>Conpareed to previous period</t>
  </si>
  <si>
    <t>Budget/Results</t>
    <phoneticPr fontId="0"/>
  </si>
  <si>
    <t>JAN - MARCH</t>
  </si>
  <si>
    <t>APR - JUN</t>
  </si>
  <si>
    <t>JUL - SEP</t>
  </si>
  <si>
    <t>OCT-DEC</t>
  </si>
  <si>
    <t>Relative to budget</t>
  </si>
  <si>
    <t>Conpareed to previous period</t>
    <phoneticPr fontId="0"/>
  </si>
  <si>
    <t>Jul</t>
  </si>
  <si>
    <t>Aug</t>
  </si>
  <si>
    <t>Sep</t>
  </si>
  <si>
    <t>Oct</t>
  </si>
  <si>
    <t>Nov</t>
  </si>
  <si>
    <t>Dec</t>
  </si>
  <si>
    <t>ทำได้จริง</t>
  </si>
  <si>
    <t xml:space="preserve">       Results ขายจริง              </t>
  </si>
  <si>
    <t>2025
 (3 เดือน)</t>
  </si>
  <si>
    <t>other (บีฟบราเทอร์,เดอะพีเคแอลเจ,อังคณา,โตโยต้าทูโช่,โดโบกุ,เดอะฟู๊ดเวิร์ค,สุภัทรีย์) ประกอบบีฟ,
 เอ.ซี.ควอลิตี้ฟู้ด,พรีเมียร์</t>
  </si>
  <si>
    <t xml:space="preserve">Other  </t>
  </si>
  <si>
    <t>ลูกค้าใหม่</t>
  </si>
  <si>
    <t xml:space="preserve">other (อีซี่สเต็ก,คิงคอง,ซูกิซิ,เอสบีแอลจี,สีฟ้า,นิกิวาอิ,ราชารส,ชาบูเชน,ชาชิมิ,เดอะฮิโร๊ะ,อีชิลี่,เซ็นทรัล เรสตอรองส์ </t>
  </si>
  <si>
    <t>CRG</t>
  </si>
  <si>
    <t>Zaab Eli</t>
  </si>
  <si>
    <t xml:space="preserve">Other (เจแวลู,ยูเนี่ยนพี,อาร์พีแอล) </t>
  </si>
  <si>
    <t>New Project.</t>
  </si>
  <si>
    <t>คำพูน</t>
  </si>
  <si>
    <t>แองเคอร์</t>
  </si>
  <si>
    <t>Prior period / Current period</t>
  </si>
  <si>
    <t xml:space="preserve"> Year 2026</t>
  </si>
  <si>
    <t xml:space="preserve">       Results ขายจริง   </t>
  </si>
  <si>
    <t>เป้า 2026
(3 เดือน)</t>
  </si>
  <si>
    <t>ขายจริง2026
(3 เดือน)</t>
  </si>
  <si>
    <t>2026
 (3 เดือน)</t>
  </si>
  <si>
    <t xml:space="preserve">       Results ขายจริง 31/01/2569            </t>
  </si>
  <si>
    <t xml:space="preserve">       Results ขายจริง
   26/02/2569</t>
  </si>
  <si>
    <t>เอกพจน์  (เคทีอาร์)</t>
  </si>
  <si>
    <t xml:space="preserve">       Results ขายจริง31/03/2569             </t>
  </si>
  <si>
    <t xml:space="preserve">       Results ขายจริง
        30/04/2569</t>
  </si>
  <si>
    <t>New Project. (Thaifex)</t>
  </si>
  <si>
    <t xml:space="preserve">       Results ขายจริง
      31/05/2569     </t>
  </si>
  <si>
    <t xml:space="preserve">       Results ขายจริง
 30/06/2569  </t>
  </si>
  <si>
    <t xml:space="preserve">       Results ขายจริง 
31/07/2569  </t>
  </si>
  <si>
    <t xml:space="preserve">       Results ขายจริง
31/08/2569   </t>
  </si>
  <si>
    <r>
      <t>other (บีฟบราเทอร์,เดอะพีแอลเคเจ,อังคณา</t>
    </r>
    <r>
      <rPr>
        <sz val="12"/>
        <color rgb="FFFF0000"/>
        <rFont val="Angsana New"/>
        <family val="1"/>
      </rPr>
      <t>,โตโยต้าทูโช่,โดโบกุ</t>
    </r>
    <r>
      <rPr>
        <sz val="12"/>
        <color theme="1"/>
        <rFont val="Angsana New"/>
        <family val="1"/>
      </rPr>
      <t>,</t>
    </r>
    <r>
      <rPr>
        <sz val="12"/>
        <color rgb="FFFF0000"/>
        <rFont val="Angsana New"/>
        <family val="1"/>
      </rPr>
      <t>เดอะฟู๊ดเวิร์ค,สุภัทรีย์) ประกอบบีฟ</t>
    </r>
    <r>
      <rPr>
        <sz val="12"/>
        <color theme="1"/>
        <rFont val="Angsana New"/>
        <family val="1"/>
      </rPr>
      <t xml:space="preserve">,
</t>
    </r>
    <r>
      <rPr>
        <sz val="12"/>
        <color rgb="FFFF0000"/>
        <rFont val="Angsana New"/>
        <family val="1"/>
      </rPr>
      <t xml:space="preserve"> เอ.ซี.ควอลิตี้ฟู้ด</t>
    </r>
    <r>
      <rPr>
        <sz val="12"/>
        <color theme="1"/>
        <rFont val="Angsana New"/>
        <family val="1"/>
      </rPr>
      <t>,พรีเมียร์,โลคุสต้า,ลิตเติล</t>
    </r>
  </si>
  <si>
    <r>
      <t>other (</t>
    </r>
    <r>
      <rPr>
        <sz val="12"/>
        <color rgb="FFFF0000"/>
        <rFont val="Angsana New"/>
        <family val="1"/>
      </rPr>
      <t>อีซี่สเต็ก,คิงคอง,ซูกิซิ,เอสบีแอลจี,สีฟ้า,</t>
    </r>
    <r>
      <rPr>
        <sz val="12"/>
        <color theme="1"/>
        <rFont val="Angsana New"/>
        <family val="1"/>
      </rPr>
      <t>นิกิวาอิ</t>
    </r>
    <r>
      <rPr>
        <sz val="12"/>
        <color rgb="FFFF0000"/>
        <rFont val="Angsana New"/>
        <family val="1"/>
      </rPr>
      <t>,ราชารส,ชาบูเชน,ชาชิมิ</t>
    </r>
    <r>
      <rPr>
        <sz val="12"/>
        <color theme="1"/>
        <rFont val="Angsana New"/>
        <family val="1"/>
      </rPr>
      <t>,เดอะฮิโร๊ะ,,บอนชอน,นิตยาไก่ย่าง,เดอะสเต๊กแอนมอร์,ฉันเรสเตอรองท์,แจลลุกซ์</t>
    </r>
  </si>
  <si>
    <t>ลูกค้าใหม่  (ทริปเบิ้ลบี ,ทวิชัย,นายบรรณ,เอ็ม แอนด์ ที ,แพ็นเดนัช</t>
  </si>
  <si>
    <t xml:space="preserve">       Results ขายจริง   
 17/09/2569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</si>
</sst>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B1mmm\-yy"/>
    <numFmt numFmtId="165" formatCode="#,##0_);[Red]\(#,##0\)"/>
    <numFmt numFmtId="166" formatCode="#,##0.00_);[Red]\(#,##0.00\)"/>
    <numFmt numFmtId="167" formatCode="_-* #,##0_-;\-* #,##0_-;_-* &quot;-&quot;??_-;_-@_-"/>
  </numFmts>
  <fonts count="15" x14ac:knownFonts="1">
    <font>
      <sz val="11"/>
      <color theme="1"/>
      <name val="Calibri"/>
      <scheme val="minor"/>
    </font>
    <font>
      <sz val="12"/>
      <color theme="1"/>
      <name val="Angsana New"/>
      <family val="1"/>
    </font>
    <font>
      <sz val="12"/>
      <name val="Angsana New"/>
      <family val="1"/>
    </font>
    <font>
      <sz val="10"/>
      <color theme="1"/>
      <name val="Angsana New"/>
      <family val="1"/>
    </font>
    <font>
      <b/>
      <sz val="12"/>
      <color theme="1"/>
      <name val="Angsana New"/>
      <family val="1"/>
    </font>
    <font>
      <sz val="12"/>
      <color rgb="FFFF0000"/>
      <name val="Angsana New"/>
      <family val="1"/>
    </font>
    <font>
      <sz val="11"/>
      <color theme="1"/>
      <name val="Calibri"/>
      <family val="2"/>
      <scheme val="minor"/>
    </font>
    <font>
      <sz val="12"/>
      <color rgb="FF000000"/>
      <name val="Angsana New"/>
      <family val="1"/>
    </font>
    <font>
      <sz val="11"/>
      <color theme="1"/>
      <name val="MS PGothic"/>
      <family val="3"/>
      <charset val="128"/>
    </font>
    <font>
      <sz val="16"/>
      <color theme="1"/>
      <name val="Angsana New"/>
      <family val="2"/>
      <charset val="222"/>
    </font>
    <font>
      <sz val="12"/>
      <color theme="1"/>
      <name val="Calibri"/>
      <family val="2"/>
      <scheme val="minor"/>
    </font>
    <font>
      <b/>
      <sz val="16"/>
      <color theme="1"/>
      <name val="Angsana New"/>
      <family val="1"/>
    </font>
    <font>
      <b/>
      <sz val="14"/>
      <color theme="1"/>
      <name val="Angsana New"/>
      <family val="1"/>
    </font>
    <font>
      <b/>
      <u/>
      <sz val="16"/>
      <color rgb="FFFF0000"/>
      <name val="Angsana New"/>
      <family val="1"/>
    </font>
    <font>
      <b/>
      <sz val="12"/>
      <color rgb="FFFF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0" borderId="0"/>
    <xf numFmtId="0" fontId="6" fillId="0" borderId="0"/>
    <xf numFmtId="9" fontId="6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2" borderId="9" xfId="0" applyFont="1" applyFill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9" fontId="1" fillId="0" borderId="12" xfId="0" applyNumberFormat="1" applyFont="1" applyBorder="1" applyAlignment="1">
      <alignment horizontal="right" vertical="center"/>
    </xf>
    <xf numFmtId="9" fontId="5" fillId="0" borderId="12" xfId="0" applyNumberFormat="1" applyFont="1" applyBorder="1" applyAlignment="1">
      <alignment horizontal="right" vertical="center"/>
    </xf>
    <xf numFmtId="9" fontId="1" fillId="0" borderId="13" xfId="0" applyNumberFormat="1" applyFont="1" applyBorder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9" fontId="5" fillId="0" borderId="13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9" fontId="5" fillId="0" borderId="15" xfId="0" applyNumberFormat="1" applyFont="1" applyBorder="1" applyAlignment="1">
      <alignment horizontal="right" vertical="center"/>
    </xf>
    <xf numFmtId="9" fontId="1" fillId="0" borderId="16" xfId="0" applyNumberFormat="1" applyFont="1" applyBorder="1" applyAlignment="1">
      <alignment horizontal="right" vertical="center"/>
    </xf>
    <xf numFmtId="9" fontId="1" fillId="0" borderId="17" xfId="0" applyNumberFormat="1" applyFont="1" applyBorder="1" applyAlignment="1">
      <alignment horizontal="right" vertical="center"/>
    </xf>
    <xf numFmtId="9" fontId="5" fillId="0" borderId="16" xfId="0" applyNumberFormat="1" applyFont="1" applyBorder="1" applyAlignment="1">
      <alignment horizontal="right" vertical="center"/>
    </xf>
    <xf numFmtId="165" fontId="1" fillId="0" borderId="18" xfId="0" applyNumberFormat="1" applyFont="1" applyBorder="1" applyAlignment="1">
      <alignment vertical="center"/>
    </xf>
    <xf numFmtId="165" fontId="1" fillId="0" borderId="16" xfId="0" applyNumberFormat="1" applyFont="1" applyBorder="1" applyAlignment="1">
      <alignment vertical="center"/>
    </xf>
    <xf numFmtId="9" fontId="5" fillId="0" borderId="19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center" wrapText="1"/>
    </xf>
    <xf numFmtId="0" fontId="4" fillId="2" borderId="14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9" fontId="5" fillId="0" borderId="21" xfId="0" applyNumberFormat="1" applyFont="1" applyBorder="1" applyAlignment="1">
      <alignment horizontal="right" vertical="center"/>
    </xf>
    <xf numFmtId="9" fontId="1" fillId="0" borderId="21" xfId="0" applyNumberFormat="1" applyFont="1" applyBorder="1" applyAlignment="1">
      <alignment horizontal="right" vertical="center"/>
    </xf>
    <xf numFmtId="9" fontId="1" fillId="0" borderId="22" xfId="0" applyNumberFormat="1" applyFont="1" applyBorder="1" applyAlignment="1">
      <alignment horizontal="right" vertical="center"/>
    </xf>
    <xf numFmtId="9" fontId="5" fillId="0" borderId="23" xfId="0" applyNumberFormat="1" applyFont="1" applyBorder="1" applyAlignment="1">
      <alignment horizontal="right" vertical="center"/>
    </xf>
    <xf numFmtId="165" fontId="1" fillId="0" borderId="24" xfId="0" applyNumberFormat="1" applyFont="1" applyBorder="1" applyAlignment="1">
      <alignment vertical="center"/>
    </xf>
    <xf numFmtId="165" fontId="1" fillId="0" borderId="21" xfId="0" applyNumberFormat="1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165" fontId="1" fillId="0" borderId="26" xfId="0" applyNumberFormat="1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9" fontId="5" fillId="0" borderId="3" xfId="0" applyNumberFormat="1" applyFont="1" applyBorder="1" applyAlignment="1">
      <alignment horizontal="right" vertical="center"/>
    </xf>
    <xf numFmtId="9" fontId="1" fillId="0" borderId="3" xfId="0" applyNumberFormat="1" applyFont="1" applyBorder="1" applyAlignment="1">
      <alignment horizontal="right" vertical="center"/>
    </xf>
    <xf numFmtId="9" fontId="1" fillId="0" borderId="4" xfId="0" applyNumberFormat="1" applyFont="1" applyBorder="1" applyAlignment="1">
      <alignment horizontal="right" vertical="center"/>
    </xf>
    <xf numFmtId="9" fontId="1" fillId="0" borderId="28" xfId="0" applyNumberFormat="1" applyFont="1" applyBorder="1" applyAlignment="1">
      <alignment horizontal="right" vertical="center"/>
    </xf>
    <xf numFmtId="9" fontId="1" fillId="0" borderId="29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1" fillId="0" borderId="30" xfId="0" applyFont="1" applyBorder="1" applyAlignment="1">
      <alignment horizontal="center" vertical="center" wrapText="1"/>
    </xf>
    <xf numFmtId="9" fontId="1" fillId="0" borderId="31" xfId="0" applyNumberFormat="1" applyFont="1" applyBorder="1" applyAlignment="1">
      <alignment horizontal="right" vertical="center"/>
    </xf>
    <xf numFmtId="165" fontId="1" fillId="0" borderId="32" xfId="0" applyNumberFormat="1" applyFont="1" applyBorder="1" applyAlignment="1">
      <alignment vertical="center"/>
    </xf>
    <xf numFmtId="165" fontId="1" fillId="0" borderId="33" xfId="0" applyNumberFormat="1" applyFont="1" applyBorder="1" applyAlignment="1">
      <alignment vertical="center"/>
    </xf>
    <xf numFmtId="165" fontId="1" fillId="0" borderId="34" xfId="0" applyNumberFormat="1" applyFont="1" applyBorder="1" applyAlignment="1">
      <alignment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35" xfId="0" applyNumberFormat="1" applyFont="1" applyBorder="1" applyAlignment="1">
      <alignment vertical="center"/>
    </xf>
    <xf numFmtId="9" fontId="1" fillId="0" borderId="36" xfId="0" applyNumberFormat="1" applyFont="1" applyBorder="1" applyAlignment="1">
      <alignment horizontal="right" vertical="center"/>
    </xf>
    <xf numFmtId="9" fontId="1" fillId="0" borderId="37" xfId="0" applyNumberFormat="1" applyFont="1" applyBorder="1" applyAlignment="1">
      <alignment horizontal="right" vertical="center"/>
    </xf>
    <xf numFmtId="165" fontId="1" fillId="0" borderId="38" xfId="0" applyNumberFormat="1" applyFont="1" applyBorder="1" applyAlignment="1">
      <alignment horizontal="right" vertical="center"/>
    </xf>
    <xf numFmtId="9" fontId="1" fillId="0" borderId="23" xfId="0" applyNumberFormat="1" applyFont="1" applyBorder="1" applyAlignment="1">
      <alignment horizontal="right" vertical="center"/>
    </xf>
    <xf numFmtId="9" fontId="5" fillId="0" borderId="28" xfId="0" applyNumberFormat="1" applyFont="1" applyBorder="1" applyAlignment="1">
      <alignment horizontal="right" vertical="center"/>
    </xf>
    <xf numFmtId="9" fontId="1" fillId="0" borderId="39" xfId="0" applyNumberFormat="1" applyFont="1" applyBorder="1" applyAlignment="1">
      <alignment horizontal="right" vertical="center"/>
    </xf>
    <xf numFmtId="0" fontId="1" fillId="0" borderId="41" xfId="0" applyFont="1" applyBorder="1" applyAlignment="1">
      <alignment horizontal="center" vertical="center" wrapText="1"/>
    </xf>
    <xf numFmtId="9" fontId="7" fillId="0" borderId="13" xfId="0" applyNumberFormat="1" applyFont="1" applyBorder="1" applyAlignment="1">
      <alignment horizontal="right" vertical="center"/>
    </xf>
    <xf numFmtId="9" fontId="7" fillId="0" borderId="15" xfId="0" applyNumberFormat="1" applyFont="1" applyBorder="1" applyAlignment="1">
      <alignment horizontal="right" vertical="center"/>
    </xf>
    <xf numFmtId="9" fontId="5" fillId="0" borderId="17" xfId="0" applyNumberFormat="1" applyFont="1" applyBorder="1" applyAlignment="1">
      <alignment horizontal="right" vertical="center"/>
    </xf>
    <xf numFmtId="9" fontId="5" fillId="0" borderId="22" xfId="0" applyNumberFormat="1" applyFont="1" applyBorder="1" applyAlignment="1">
      <alignment horizontal="right" vertical="center"/>
    </xf>
    <xf numFmtId="9" fontId="5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9" fontId="1" fillId="0" borderId="44" xfId="0" applyNumberFormat="1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165" fontId="1" fillId="0" borderId="45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46" xfId="0" applyNumberFormat="1" applyFont="1" applyBorder="1" applyAlignment="1">
      <alignment vertical="center"/>
    </xf>
    <xf numFmtId="9" fontId="5" fillId="0" borderId="0" xfId="0" applyNumberFormat="1" applyFont="1" applyAlignment="1">
      <alignment horizontal="right" vertical="center"/>
    </xf>
    <xf numFmtId="165" fontId="1" fillId="0" borderId="47" xfId="0" applyNumberFormat="1" applyFont="1" applyBorder="1" applyAlignment="1">
      <alignment vertical="center"/>
    </xf>
    <xf numFmtId="165" fontId="1" fillId="0" borderId="28" xfId="0" applyNumberFormat="1" applyFont="1" applyBorder="1" applyAlignment="1">
      <alignment vertical="center"/>
    </xf>
    <xf numFmtId="165" fontId="1" fillId="0" borderId="48" xfId="0" applyNumberFormat="1" applyFont="1" applyBorder="1" applyAlignment="1">
      <alignment vertical="center"/>
    </xf>
    <xf numFmtId="165" fontId="1" fillId="0" borderId="50" xfId="0" applyNumberFormat="1" applyFont="1" applyBorder="1" applyAlignment="1">
      <alignment vertical="center"/>
    </xf>
    <xf numFmtId="165" fontId="1" fillId="0" borderId="51" xfId="0" applyNumberFormat="1" applyFont="1" applyBorder="1" applyAlignment="1">
      <alignment vertical="center"/>
    </xf>
    <xf numFmtId="165" fontId="1" fillId="0" borderId="49" xfId="0" applyNumberFormat="1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165" fontId="1" fillId="0" borderId="42" xfId="0" applyNumberFormat="1" applyFont="1" applyBorder="1" applyAlignment="1">
      <alignment vertical="center"/>
    </xf>
    <xf numFmtId="165" fontId="11" fillId="0" borderId="26" xfId="0" applyNumberFormat="1" applyFont="1" applyBorder="1" applyAlignment="1">
      <alignment vertical="center"/>
    </xf>
    <xf numFmtId="165" fontId="12" fillId="0" borderId="26" xfId="0" applyNumberFormat="1" applyFont="1" applyBorder="1" applyAlignment="1">
      <alignment vertical="center"/>
    </xf>
    <xf numFmtId="9" fontId="1" fillId="0" borderId="52" xfId="0" applyNumberFormat="1" applyFont="1" applyBorder="1" applyAlignment="1">
      <alignment horizontal="right" vertical="center"/>
    </xf>
    <xf numFmtId="166" fontId="12" fillId="0" borderId="53" xfId="0" applyNumberFormat="1" applyFont="1" applyBorder="1" applyAlignment="1">
      <alignment vertical="center"/>
    </xf>
    <xf numFmtId="165" fontId="12" fillId="0" borderId="54" xfId="0" applyNumberFormat="1" applyFont="1" applyBorder="1" applyAlignment="1">
      <alignment vertical="center"/>
    </xf>
    <xf numFmtId="165" fontId="12" fillId="0" borderId="55" xfId="0" applyNumberFormat="1" applyFont="1" applyBorder="1" applyAlignment="1">
      <alignment vertical="center"/>
    </xf>
    <xf numFmtId="165" fontId="12" fillId="0" borderId="56" xfId="0" applyNumberFormat="1" applyFont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4" fillId="0" borderId="25" xfId="0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9" fontId="14" fillId="0" borderId="21" xfId="0" applyNumberFormat="1" applyFont="1" applyBorder="1" applyAlignment="1">
      <alignment horizontal="right" vertical="center"/>
    </xf>
    <xf numFmtId="9" fontId="4" fillId="0" borderId="21" xfId="0" applyNumberFormat="1" applyFont="1" applyBorder="1" applyAlignment="1">
      <alignment horizontal="right" vertical="center"/>
    </xf>
    <xf numFmtId="9" fontId="4" fillId="0" borderId="22" xfId="0" applyNumberFormat="1" applyFont="1" applyBorder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9" fontId="4" fillId="0" borderId="13" xfId="0" applyNumberFormat="1" applyFont="1" applyBorder="1" applyAlignment="1">
      <alignment horizontal="right" vertical="center"/>
    </xf>
    <xf numFmtId="9" fontId="14" fillId="0" borderId="23" xfId="0" applyNumberFormat="1" applyFont="1" applyBorder="1" applyAlignment="1">
      <alignment horizontal="right" vertical="center"/>
    </xf>
    <xf numFmtId="9" fontId="14" fillId="0" borderId="12" xfId="0" applyNumberFormat="1" applyFont="1" applyBorder="1" applyAlignment="1">
      <alignment horizontal="right" vertical="center"/>
    </xf>
    <xf numFmtId="165" fontId="4" fillId="0" borderId="24" xfId="0" applyNumberFormat="1" applyFont="1" applyBorder="1" applyAlignment="1">
      <alignment vertical="center"/>
    </xf>
    <xf numFmtId="165" fontId="4" fillId="0" borderId="2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9" fontId="5" fillId="0" borderId="36" xfId="0" applyNumberFormat="1" applyFont="1" applyBorder="1" applyAlignment="1">
      <alignment horizontal="right" vertical="center"/>
    </xf>
    <xf numFmtId="165" fontId="1" fillId="0" borderId="57" xfId="0" applyNumberFormat="1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3" fillId="2" borderId="49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65" fontId="12" fillId="0" borderId="58" xfId="0" applyNumberFormat="1" applyFont="1" applyBorder="1" applyAlignment="1">
      <alignment vertical="center"/>
    </xf>
    <xf numFmtId="165" fontId="12" fillId="0" borderId="59" xfId="0" applyNumberFormat="1" applyFont="1" applyBorder="1" applyAlignment="1">
      <alignment vertical="center"/>
    </xf>
    <xf numFmtId="43" fontId="12" fillId="0" borderId="60" xfId="1" applyFont="1" applyBorder="1" applyAlignment="1">
      <alignment vertical="center"/>
    </xf>
    <xf numFmtId="9" fontId="5" fillId="0" borderId="61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vertical="center"/>
    </xf>
    <xf numFmtId="166" fontId="4" fillId="0" borderId="26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vertical="center"/>
    </xf>
    <xf numFmtId="4" fontId="0" fillId="0" borderId="0" xfId="0" applyNumberFormat="1"/>
    <xf numFmtId="43" fontId="4" fillId="0" borderId="42" xfId="1" applyFont="1" applyBorder="1" applyAlignment="1">
      <alignment vertical="center"/>
    </xf>
    <xf numFmtId="165" fontId="1" fillId="0" borderId="52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65" fontId="12" fillId="0" borderId="62" xfId="0" applyNumberFormat="1" applyFont="1" applyBorder="1" applyAlignment="1">
      <alignment vertical="center"/>
    </xf>
    <xf numFmtId="166" fontId="12" fillId="0" borderId="52" xfId="0" applyNumberFormat="1" applyFont="1" applyBorder="1" applyAlignment="1">
      <alignment vertical="center"/>
    </xf>
    <xf numFmtId="0" fontId="4" fillId="2" borderId="49" xfId="0" applyFont="1" applyFill="1" applyBorder="1" applyAlignment="1">
      <alignment vertical="center" wrapText="1"/>
    </xf>
    <xf numFmtId="167" fontId="1" fillId="0" borderId="0" xfId="1" applyNumberFormat="1" applyFont="1" applyAlignment="1">
      <alignment vertical="center"/>
    </xf>
    <xf numFmtId="165" fontId="11" fillId="0" borderId="2" xfId="0" applyNumberFormat="1" applyFont="1" applyBorder="1" applyAlignment="1">
      <alignment vertical="center"/>
    </xf>
    <xf numFmtId="43" fontId="1" fillId="0" borderId="11" xfId="1" applyFont="1" applyBorder="1" applyAlignment="1">
      <alignment vertical="center"/>
    </xf>
    <xf numFmtId="165" fontId="1" fillId="0" borderId="43" xfId="0" applyNumberFormat="1" applyFont="1" applyBorder="1" applyAlignment="1">
      <alignment vertical="center"/>
    </xf>
    <xf numFmtId="43" fontId="1" fillId="0" borderId="49" xfId="1" applyFont="1" applyBorder="1" applyAlignment="1">
      <alignment vertical="center"/>
    </xf>
    <xf numFmtId="165" fontId="1" fillId="0" borderId="63" xfId="0" applyNumberFormat="1" applyFont="1" applyBorder="1" applyAlignment="1">
      <alignment vertical="center"/>
    </xf>
    <xf numFmtId="165" fontId="1" fillId="0" borderId="64" xfId="0" applyNumberFormat="1" applyFont="1" applyBorder="1" applyAlignment="1">
      <alignment vertical="center"/>
    </xf>
    <xf numFmtId="165" fontId="1" fillId="0" borderId="65" xfId="0" applyNumberFormat="1" applyFont="1" applyBorder="1" applyAlignment="1">
      <alignment vertical="center"/>
    </xf>
    <xf numFmtId="165" fontId="1" fillId="0" borderId="54" xfId="0" applyNumberFormat="1" applyFont="1" applyBorder="1" applyAlignment="1">
      <alignment vertical="center"/>
    </xf>
    <xf numFmtId="165" fontId="1" fillId="0" borderId="59" xfId="0" applyNumberFormat="1" applyFont="1" applyBorder="1" applyAlignment="1">
      <alignment vertical="center"/>
    </xf>
    <xf numFmtId="165" fontId="1" fillId="0" borderId="66" xfId="0" applyNumberFormat="1" applyFont="1" applyBorder="1" applyAlignment="1">
      <alignment vertical="center"/>
    </xf>
    <xf numFmtId="165" fontId="1" fillId="0" borderId="67" xfId="0" applyNumberFormat="1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11" fillId="0" borderId="4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6" fontId="1" fillId="0" borderId="1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</cellXfs>
  <cellStyles count="9">
    <cellStyle name="Normal 2" xfId="6" xr:uid="{00000000-0005-0000-0000-000002000000}"/>
    <cellStyle name="Normal 3" xfId="7" xr:uid="{31D432F7-0104-4669-B0E5-4DCBB9603BB2}"/>
    <cellStyle name="Percent 2" xfId="8" xr:uid="{7F444E79-A172-421E-95BC-B9AA34082742}"/>
    <cellStyle name="จุลภาค" xfId="1" builtinId="3"/>
    <cellStyle name="จุลภาค 2" xfId="3" xr:uid="{00000000-0005-0000-0000-000003000000}"/>
    <cellStyle name="ปกติ" xfId="0" builtinId="0"/>
    <cellStyle name="ปกติ 2" xfId="2" xr:uid="{00000000-0005-0000-0000-000004000000}"/>
    <cellStyle name="ปกติ 3" xfId="4" xr:uid="{00000000-0005-0000-0000-000005000000}"/>
    <cellStyle name="เปอร์เซ็นต์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lang="ja-JP" b="0">
                <a:solidFill>
                  <a:srgbClr val="757575"/>
                </a:solidFill>
                <a:latin typeface="+mn-lt"/>
              </a:defRPr>
            </a:pPr>
            <a:r>
              <a:rPr lang="en-US" altLang="ja-JP" b="0">
                <a:solidFill>
                  <a:srgbClr val="757575"/>
                </a:solidFill>
                <a:latin typeface="+mn-lt"/>
              </a:rPr>
              <a:t>Budget/Latest</a:t>
            </a:r>
            <a:r>
              <a:rPr lang="en-US" altLang="ja-JP" b="0" baseline="0">
                <a:solidFill>
                  <a:srgbClr val="757575"/>
                </a:solidFill>
                <a:latin typeface="+mn-lt"/>
              </a:rPr>
              <a:t> Forecast/Results</a:t>
            </a:r>
            <a:endParaRPr lang="ja-JP" altLang="en-US" b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Graph!$A$2</c:f>
              <c:strCache>
                <c:ptCount val="1"/>
                <c:pt idx="0">
                  <c:v>คาดการณ์
เป้าขาย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Graph!$B$2:$M$2</c:f>
              <c:numCache>
                <c:formatCode>#,##0_);[Red]\(#,##0\)</c:formatCode>
                <c:ptCount val="12"/>
                <c:pt idx="0">
                  <c:v>15640000</c:v>
                </c:pt>
                <c:pt idx="1">
                  <c:v>25990000</c:v>
                </c:pt>
                <c:pt idx="2">
                  <c:v>25180000</c:v>
                </c:pt>
                <c:pt idx="3">
                  <c:v>25180000</c:v>
                </c:pt>
                <c:pt idx="4">
                  <c:v>25600000</c:v>
                </c:pt>
                <c:pt idx="5">
                  <c:v>25400000</c:v>
                </c:pt>
                <c:pt idx="6">
                  <c:v>25500000</c:v>
                </c:pt>
                <c:pt idx="7">
                  <c:v>13500000</c:v>
                </c:pt>
                <c:pt idx="8">
                  <c:v>25500000</c:v>
                </c:pt>
                <c:pt idx="9">
                  <c:v>13500000</c:v>
                </c:pt>
                <c:pt idx="10">
                  <c:v>13500000</c:v>
                </c:pt>
                <c:pt idx="11">
                  <c:v>13500000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F-4CA4-9F4D-7312039E4FE4}"/>
            </c:ext>
          </c:extLst>
        </c:ser>
        <c:ser>
          <c:idx val="1"/>
          <c:order val="1"/>
          <c:tx>
            <c:strRef>
              <c:f>Graph!$A$3</c:f>
              <c:strCache>
                <c:ptCount val="1"/>
                <c:pt idx="0">
                  <c:v>เป้าขาย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Graph!$B$3:$M$3</c:f>
              <c:numCache>
                <c:formatCode>#,##0_);[Red]\(#,##0\)</c:formatCode>
                <c:ptCount val="12"/>
                <c:pt idx="0">
                  <c:v>12130439.789999999</c:v>
                </c:pt>
                <c:pt idx="1">
                  <c:v>10090569.989999998</c:v>
                </c:pt>
                <c:pt idx="2">
                  <c:v>13632078.249999998</c:v>
                </c:pt>
                <c:pt idx="3">
                  <c:v>11152308.920300003</c:v>
                </c:pt>
                <c:pt idx="4">
                  <c:v>10607222.68</c:v>
                </c:pt>
                <c:pt idx="5">
                  <c:v>10052977.390000002</c:v>
                </c:pt>
                <c:pt idx="6">
                  <c:v>14612261.290000001</c:v>
                </c:pt>
                <c:pt idx="7">
                  <c:v>14276664.816150002</c:v>
                </c:pt>
                <c:pt idx="8">
                  <c:v>18239859.98</c:v>
                </c:pt>
                <c:pt idx="9">
                  <c:v>14980000</c:v>
                </c:pt>
                <c:pt idx="10">
                  <c:v>16680000</c:v>
                </c:pt>
                <c:pt idx="11">
                  <c:v>18380000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F-4CA4-9F4D-7312039E4FE4}"/>
            </c:ext>
          </c:extLst>
        </c:ser>
        <c:ser>
          <c:idx val="2"/>
          <c:order val="2"/>
          <c:tx>
            <c:strRef>
              <c:f>Graph!$A$4</c:f>
              <c:strCache>
                <c:ptCount val="1"/>
                <c:pt idx="0">
                  <c:v>ทำได้จริง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Graph!$B$4:$M$4</c:f>
              <c:numCache>
                <c:formatCode>#,##0_);[Red]\(#,##0\)</c:formatCode>
                <c:ptCount val="12"/>
                <c:pt idx="0">
                  <c:v>12061304.150000002</c:v>
                </c:pt>
                <c:pt idx="1">
                  <c:v>10090569.989999998</c:v>
                </c:pt>
                <c:pt idx="2">
                  <c:v>13632078.249999998</c:v>
                </c:pt>
                <c:pt idx="3">
                  <c:v>11190028.820300004</c:v>
                </c:pt>
                <c:pt idx="4">
                  <c:v>10389285.170000002</c:v>
                </c:pt>
                <c:pt idx="5">
                  <c:v>9942527.6400000006</c:v>
                </c:pt>
                <c:pt idx="6">
                  <c:v>14480068.790000001</c:v>
                </c:pt>
                <c:pt idx="7">
                  <c:v>14377580.046150003</c:v>
                </c:pt>
                <c:pt idx="8">
                  <c:v>11810487.760000002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F-4CA4-9F4D-7312039E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441184"/>
        <c:axId val="1685444992"/>
      </c:lineChart>
      <c:catAx>
        <c:axId val="168544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lang="ja-JP" b="0">
                    <a:solidFill>
                      <a:srgbClr val="000000"/>
                    </a:solidFill>
                    <a:latin typeface="+mn-lt"/>
                  </a:defRPr>
                </a:pP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lang="ja-JP"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85444992"/>
        <c:crosses val="autoZero"/>
        <c:auto val="1"/>
        <c:lblAlgn val="ctr"/>
        <c:lblOffset val="100"/>
        <c:noMultiLvlLbl val="1"/>
      </c:catAx>
      <c:valAx>
        <c:axId val="1685444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lang="ja-JP" b="0">
                    <a:solidFill>
                      <a:srgbClr val="000000"/>
                    </a:solidFill>
                    <a:latin typeface="+mn-lt"/>
                  </a:defRPr>
                </a:pPr>
                <a:endParaRPr lang="ja-JP" altLang="en-US"/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lang="ja-JP"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854411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lang="ja-JP"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lang="ja-JP" b="0">
                <a:solidFill>
                  <a:srgbClr val="757575"/>
                </a:solidFill>
                <a:latin typeface="+mn-lt"/>
              </a:defRPr>
            </a:pPr>
            <a:r>
              <a:rPr lang="en-US" altLang="ja-JP" b="0">
                <a:solidFill>
                  <a:srgbClr val="757575"/>
                </a:solidFill>
                <a:latin typeface="+mn-lt"/>
              </a:rPr>
              <a:t>Last quarter (of the year)Prior</a:t>
            </a:r>
            <a:r>
              <a:rPr lang="en-US" altLang="ja-JP" b="0" baseline="0">
                <a:solidFill>
                  <a:srgbClr val="757575"/>
                </a:solidFill>
                <a:latin typeface="+mn-lt"/>
              </a:rPr>
              <a:t> period/Current period</a:t>
            </a:r>
            <a:endParaRPr lang="ja-JP" altLang="en-US" b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Graph!$A$7</c:f>
              <c:strCache>
                <c:ptCount val="1"/>
                <c:pt idx="0">
                  <c:v>2022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Graph!$B$6:$M$6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Graph!$B$7:$M$7</c:f>
              <c:numCache>
                <c:formatCode>#,##0_);[Red]\(#,##0\)</c:formatCode>
                <c:ptCount val="12"/>
                <c:pt idx="0">
                  <c:v>13199304.800000001</c:v>
                </c:pt>
                <c:pt idx="1">
                  <c:v>9795300</c:v>
                </c:pt>
                <c:pt idx="2">
                  <c:v>11183394.119999999</c:v>
                </c:pt>
                <c:pt idx="3">
                  <c:v>9996674.9000000004</c:v>
                </c:pt>
                <c:pt idx="4">
                  <c:v>9303905.9704049956</c:v>
                </c:pt>
                <c:pt idx="5">
                  <c:v>7200000</c:v>
                </c:pt>
                <c:pt idx="6">
                  <c:v>8709838.7902000006</c:v>
                </c:pt>
                <c:pt idx="7">
                  <c:v>8628338.1400000006</c:v>
                </c:pt>
                <c:pt idx="8">
                  <c:v>6950153.580000001</c:v>
                </c:pt>
                <c:pt idx="9">
                  <c:v>9542319.4625599999</c:v>
                </c:pt>
                <c:pt idx="10">
                  <c:v>10043060.199999999</c:v>
                </c:pt>
                <c:pt idx="11">
                  <c:v>15019156.309999999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0-45FD-BF61-B0015DB9F9F6}"/>
            </c:ext>
          </c:extLst>
        </c:ser>
        <c:ser>
          <c:idx val="1"/>
          <c:order val="1"/>
          <c:tx>
            <c:strRef>
              <c:f>Graph!$A$8</c:f>
              <c:strCache>
                <c:ptCount val="1"/>
                <c:pt idx="0">
                  <c:v>2023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Graph!$B$6:$M$6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Graph!$B$8:$M$8</c:f>
              <c:numCache>
                <c:formatCode>#,##0_);[Red]\(#,##0\)</c:formatCode>
                <c:ptCount val="12"/>
                <c:pt idx="0">
                  <c:v>14495239.694540998</c:v>
                </c:pt>
                <c:pt idx="1">
                  <c:v>11085875.729969997</c:v>
                </c:pt>
                <c:pt idx="2">
                  <c:v>9097799</c:v>
                </c:pt>
                <c:pt idx="3">
                  <c:v>7373087.6156680025</c:v>
                </c:pt>
                <c:pt idx="4">
                  <c:v>8248722.8399999999</c:v>
                </c:pt>
                <c:pt idx="5">
                  <c:v>7040987.7945399983</c:v>
                </c:pt>
                <c:pt idx="6">
                  <c:v>9345568.5299999993</c:v>
                </c:pt>
                <c:pt idx="7">
                  <c:v>9678161.9399999995</c:v>
                </c:pt>
                <c:pt idx="8">
                  <c:v>8277601.8899999997</c:v>
                </c:pt>
                <c:pt idx="9">
                  <c:v>9496855.2047999986</c:v>
                </c:pt>
                <c:pt idx="10">
                  <c:v>9838693</c:v>
                </c:pt>
                <c:pt idx="11">
                  <c:v>15341310.369999999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0-45FD-BF61-B0015DB9F9F6}"/>
            </c:ext>
          </c:extLst>
        </c:ser>
        <c:ser>
          <c:idx val="2"/>
          <c:order val="2"/>
          <c:tx>
            <c:strRef>
              <c:f>Graph!$A$9</c:f>
              <c:strCache>
                <c:ptCount val="1"/>
                <c:pt idx="0">
                  <c:v>2024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lang="ja-JP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Graph!$B$6:$M$6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Graph!$B$9:$M$9</c:f>
              <c:numCache>
                <c:formatCode>#,##0_);[Red]\(#,##0\)</c:formatCode>
                <c:ptCount val="12"/>
                <c:pt idx="0">
                  <c:v>12061304.150000002</c:v>
                </c:pt>
                <c:pt idx="1">
                  <c:v>10090569.989999998</c:v>
                </c:pt>
                <c:pt idx="2">
                  <c:v>12984035.499999998</c:v>
                </c:pt>
                <c:pt idx="3">
                  <c:v>11190028.820300004</c:v>
                </c:pt>
                <c:pt idx="4">
                  <c:v>10259657.170000002</c:v>
                </c:pt>
                <c:pt idx="5">
                  <c:v>9942527.6400000006</c:v>
                </c:pt>
                <c:pt idx="6">
                  <c:v>14480068.790000001</c:v>
                </c:pt>
                <c:pt idx="7">
                  <c:v>14377580.046150003</c:v>
                </c:pt>
                <c:pt idx="8">
                  <c:v>11810487.760000002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0-45FD-BF61-B0015DB9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442272"/>
        <c:axId val="1685443904"/>
      </c:lineChart>
      <c:catAx>
        <c:axId val="168544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lang="ja-JP" b="0">
                    <a:solidFill>
                      <a:srgbClr val="000000"/>
                    </a:solidFill>
                    <a:latin typeface="+mn-lt"/>
                  </a:defRPr>
                </a:pP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lang="ja-JP"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85443904"/>
        <c:crosses val="autoZero"/>
        <c:auto val="1"/>
        <c:lblAlgn val="ctr"/>
        <c:lblOffset val="100"/>
        <c:noMultiLvlLbl val="1"/>
      </c:catAx>
      <c:valAx>
        <c:axId val="1685443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lang="ja-JP" b="0">
                    <a:solidFill>
                      <a:srgbClr val="000000"/>
                    </a:solidFill>
                    <a:latin typeface="+mn-lt"/>
                  </a:defRPr>
                </a:pPr>
                <a:endParaRPr lang="ja-JP" altLang="en-US"/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lang="ja-JP"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854422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lang="ja-JP"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10</xdr:row>
      <xdr:rowOff>38100</xdr:rowOff>
    </xdr:from>
    <xdr:ext cx="12125325" cy="4838700"/>
    <xdr:graphicFrame macro="">
      <xdr:nvGraphicFramePr>
        <xdr:cNvPr id="2" name="Chart 1" title="グラフ">
          <a:extLst>
            <a:ext uri="{FF2B5EF4-FFF2-40B4-BE49-F238E27FC236}">
              <a16:creationId xmlns:a16="http://schemas.microsoft.com/office/drawing/2014/main" id="{FC41EEFD-4E7C-43D1-A24C-52FE61008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161925</xdr:colOff>
      <xdr:row>37</xdr:row>
      <xdr:rowOff>66675</xdr:rowOff>
    </xdr:from>
    <xdr:ext cx="12125325" cy="4943475"/>
    <xdr:graphicFrame macro="">
      <xdr:nvGraphicFramePr>
        <xdr:cNvPr id="3" name="Chart 2" title="グラフ">
          <a:extLst>
            <a:ext uri="{FF2B5EF4-FFF2-40B4-BE49-F238E27FC236}">
              <a16:creationId xmlns:a16="http://schemas.microsoft.com/office/drawing/2014/main" id="{2409718A-C87D-4F4C-96D9-2414EAC1F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3</xdr:col>
      <xdr:colOff>137160</xdr:colOff>
      <xdr:row>68</xdr:row>
      <xdr:rowOff>0</xdr:rowOff>
    </xdr:from>
    <xdr:to>
      <xdr:col>8</xdr:col>
      <xdr:colOff>517498</xdr:colOff>
      <xdr:row>84</xdr:row>
      <xdr:rowOff>178682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B19D5F-9EAA-3241-1A23-8D76F3062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" y="12702540"/>
          <a:ext cx="5295238" cy="31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Top%2010%20Profit%20by%20item%2011%20DEC%202025.xlsx" TargetMode="External"/><Relationship Id="rId1" Type="http://schemas.openxmlformats.org/officeDocument/2006/relationships/externalLinkPath" Target="file:///C:\Users\HP\Downloads\Top%2010%20Profit%20by%20item%2011%20DEC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ตามสินค้า"/>
      <sheetName val="ตามลูกค้า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1168"/>
  <sheetViews>
    <sheetView tabSelected="1" zoomScale="98" zoomScaleNormal="98" zoomScaleSheetLayoutView="130" workbookViewId="0">
      <pane xSplit="1" topLeftCell="AJ1" activePane="topRight" state="frozen"/>
      <selection pane="topRight" activeCell="AM44" sqref="AM44"/>
    </sheetView>
  </sheetViews>
  <sheetFormatPr defaultColWidth="14.33203125" defaultRowHeight="15" customHeight="1" x14ac:dyDescent="0.3"/>
  <cols>
    <col min="1" max="1" width="39.88671875" style="1" customWidth="1"/>
    <col min="2" max="2" width="13.21875" style="1" hidden="1" customWidth="1"/>
    <col min="3" max="3" width="12.21875" style="1" hidden="1" customWidth="1"/>
    <col min="4" max="4" width="13.33203125" style="1" hidden="1" customWidth="1"/>
    <col min="5" max="5" width="9" style="1" hidden="1" customWidth="1"/>
    <col min="6" max="6" width="11" style="1" hidden="1" customWidth="1"/>
    <col min="7" max="7" width="11.109375" style="1" hidden="1" customWidth="1"/>
    <col min="8" max="8" width="12.77734375" style="1" hidden="1" customWidth="1"/>
    <col min="9" max="9" width="9" style="1" hidden="1" customWidth="1"/>
    <col min="10" max="10" width="10.6640625" style="1" hidden="1" customWidth="1"/>
    <col min="11" max="11" width="12.109375" style="1" hidden="1" customWidth="1"/>
    <col min="12" max="12" width="12.21875" style="1" hidden="1" customWidth="1"/>
    <col min="13" max="13" width="14.6640625" style="1" hidden="1" customWidth="1"/>
    <col min="14" max="15" width="15.21875" style="1" hidden="1" customWidth="1"/>
    <col min="16" max="16" width="11.21875" style="1" hidden="1" customWidth="1"/>
    <col min="17" max="17" width="9" style="1" hidden="1" customWidth="1"/>
    <col min="18" max="18" width="11.109375" style="1" hidden="1" customWidth="1"/>
    <col min="19" max="19" width="12.21875" style="1" hidden="1" customWidth="1"/>
    <col min="20" max="20" width="13" style="1" hidden="1" customWidth="1"/>
    <col min="21" max="21" width="9.88671875" style="1" hidden="1" customWidth="1"/>
    <col min="22" max="22" width="14.88671875" style="1" hidden="1" customWidth="1"/>
    <col min="23" max="23" width="12.21875" style="1" hidden="1" customWidth="1"/>
    <col min="24" max="24" width="13.5546875" style="1" hidden="1" customWidth="1"/>
    <col min="25" max="25" width="13" style="1" hidden="1" customWidth="1"/>
    <col min="26" max="26" width="15.44140625" style="1" hidden="1" customWidth="1"/>
    <col min="27" max="27" width="24.6640625" style="1" hidden="1" customWidth="1"/>
    <col min="28" max="28" width="12.109375" style="1" hidden="1" customWidth="1"/>
    <col min="29" max="29" width="14.21875" style="1" hidden="1" customWidth="1"/>
    <col min="30" max="30" width="11.77734375" style="1" hidden="1" customWidth="1"/>
    <col min="31" max="31" width="10.77734375" style="1" hidden="1" customWidth="1"/>
    <col min="32" max="32" width="12.33203125" style="1" hidden="1" customWidth="1"/>
    <col min="33" max="33" width="12.109375" style="1" hidden="1" customWidth="1"/>
    <col min="34" max="34" width="12.5546875" style="1" hidden="1" customWidth="1"/>
    <col min="35" max="35" width="10.6640625" style="1" hidden="1" customWidth="1"/>
    <col min="36" max="36" width="11.6640625" style="1" customWidth="1"/>
    <col min="37" max="37" width="11.88671875" style="1" customWidth="1"/>
    <col min="38" max="38" width="14.6640625" style="1" customWidth="1"/>
    <col min="39" max="39" width="11" style="1" customWidth="1"/>
    <col min="40" max="40" width="10.88671875" style="1" customWidth="1"/>
    <col min="41" max="41" width="11.88671875" style="1" customWidth="1"/>
    <col min="42" max="42" width="9.6640625" style="1" customWidth="1"/>
    <col min="43" max="43" width="10.21875" style="1" customWidth="1"/>
    <col min="44" max="44" width="10.44140625" style="1" customWidth="1"/>
    <col min="45" max="45" width="9.44140625" style="1" customWidth="1"/>
    <col min="46" max="46" width="12.33203125" style="1" customWidth="1"/>
    <col min="47" max="47" width="12.5546875" style="1" customWidth="1"/>
    <col min="48" max="48" width="10.88671875" style="1" customWidth="1"/>
    <col min="49" max="49" width="12.33203125" style="1" customWidth="1"/>
    <col min="50" max="50" width="10.33203125" style="1" customWidth="1"/>
    <col min="51" max="55" width="9" style="1" customWidth="1"/>
    <col min="56" max="16384" width="14.33203125" style="1"/>
  </cols>
  <sheetData>
    <row r="1" spans="1:55" ht="12.75" customHeight="1" x14ac:dyDescent="0.3">
      <c r="A1" s="1" t="s">
        <v>0</v>
      </c>
    </row>
    <row r="2" spans="1:55" ht="12.75" customHeight="1" thickBot="1" x14ac:dyDescent="0.35">
      <c r="A2" s="1" t="s">
        <v>97</v>
      </c>
      <c r="AA2" s="2"/>
    </row>
    <row r="3" spans="1:55" ht="12.75" customHeight="1" thickBot="1" x14ac:dyDescent="0.35">
      <c r="A3" s="149" t="s">
        <v>1</v>
      </c>
      <c r="B3" s="144">
        <v>46023</v>
      </c>
      <c r="C3" s="145"/>
      <c r="D3" s="145"/>
      <c r="E3" s="146"/>
      <c r="F3" s="144">
        <v>46054</v>
      </c>
      <c r="G3" s="147"/>
      <c r="H3" s="147"/>
      <c r="I3" s="148"/>
      <c r="J3" s="144">
        <v>46082</v>
      </c>
      <c r="K3" s="145"/>
      <c r="L3" s="145"/>
      <c r="M3" s="146"/>
      <c r="N3" s="144">
        <v>46113</v>
      </c>
      <c r="O3" s="147"/>
      <c r="P3" s="147"/>
      <c r="Q3" s="148"/>
      <c r="R3" s="144">
        <v>46143</v>
      </c>
      <c r="S3" s="145"/>
      <c r="T3" s="145"/>
      <c r="U3" s="146"/>
      <c r="V3" s="144">
        <v>46174</v>
      </c>
      <c r="W3" s="147"/>
      <c r="X3" s="147"/>
      <c r="Y3" s="148"/>
      <c r="Z3" s="3"/>
      <c r="AA3" s="149" t="str">
        <f>A3</f>
        <v>Budget/Results</v>
      </c>
      <c r="AB3" s="144">
        <v>46204</v>
      </c>
      <c r="AC3" s="145"/>
      <c r="AD3" s="145"/>
      <c r="AE3" s="146"/>
      <c r="AF3" s="144">
        <v>46236</v>
      </c>
      <c r="AG3" s="145"/>
      <c r="AH3" s="145"/>
      <c r="AI3" s="146"/>
      <c r="AJ3" s="160">
        <v>46268</v>
      </c>
      <c r="AK3" s="155"/>
      <c r="AL3" s="155"/>
      <c r="AM3" s="156"/>
      <c r="AN3" s="160">
        <v>46300</v>
      </c>
      <c r="AO3" s="155"/>
      <c r="AP3" s="155"/>
      <c r="AQ3" s="156"/>
      <c r="AR3" s="160">
        <v>46332</v>
      </c>
      <c r="AS3" s="155"/>
      <c r="AT3" s="155"/>
      <c r="AU3" s="156"/>
      <c r="AV3" s="160">
        <v>46364</v>
      </c>
      <c r="AW3" s="155"/>
      <c r="AX3" s="155"/>
      <c r="AY3" s="156"/>
      <c r="AZ3" s="154" t="s">
        <v>13</v>
      </c>
      <c r="BA3" s="155"/>
      <c r="BB3" s="155"/>
      <c r="BC3" s="161"/>
    </row>
    <row r="4" spans="1:55" s="9" customFormat="1" ht="54.75" customHeight="1" thickBot="1" x14ac:dyDescent="0.35">
      <c r="A4" s="150"/>
      <c r="B4" s="4" t="s">
        <v>14</v>
      </c>
      <c r="C4" s="5" t="s">
        <v>15</v>
      </c>
      <c r="D4" s="6" t="s">
        <v>102</v>
      </c>
      <c r="E4" s="7" t="s">
        <v>16</v>
      </c>
      <c r="F4" s="4" t="s">
        <v>14</v>
      </c>
      <c r="G4" s="5" t="s">
        <v>15</v>
      </c>
      <c r="H4" s="6" t="s">
        <v>103</v>
      </c>
      <c r="I4" s="7" t="s">
        <v>16</v>
      </c>
      <c r="J4" s="4" t="s">
        <v>14</v>
      </c>
      <c r="K4" s="5" t="s">
        <v>15</v>
      </c>
      <c r="L4" s="6" t="s">
        <v>105</v>
      </c>
      <c r="M4" s="7" t="s">
        <v>16</v>
      </c>
      <c r="N4" s="4" t="s">
        <v>14</v>
      </c>
      <c r="O4" s="5" t="s">
        <v>15</v>
      </c>
      <c r="P4" s="6" t="s">
        <v>106</v>
      </c>
      <c r="Q4" s="7" t="s">
        <v>16</v>
      </c>
      <c r="R4" s="4" t="s">
        <v>14</v>
      </c>
      <c r="S4" s="5" t="s">
        <v>15</v>
      </c>
      <c r="T4" s="6" t="s">
        <v>108</v>
      </c>
      <c r="U4" s="7" t="s">
        <v>16</v>
      </c>
      <c r="V4" s="4" t="s">
        <v>14</v>
      </c>
      <c r="W4" s="5" t="s">
        <v>15</v>
      </c>
      <c r="X4" s="73" t="s">
        <v>109</v>
      </c>
      <c r="Y4" s="75" t="s">
        <v>16</v>
      </c>
      <c r="Z4" s="8"/>
      <c r="AA4" s="150"/>
      <c r="AB4" s="4" t="s">
        <v>14</v>
      </c>
      <c r="AC4" s="5" t="s">
        <v>15</v>
      </c>
      <c r="AD4" s="6" t="s">
        <v>110</v>
      </c>
      <c r="AE4" s="7" t="s">
        <v>16</v>
      </c>
      <c r="AF4" s="4" t="s">
        <v>14</v>
      </c>
      <c r="AG4" s="5" t="s">
        <v>15</v>
      </c>
      <c r="AH4" s="6" t="s">
        <v>111</v>
      </c>
      <c r="AI4" s="7" t="s">
        <v>16</v>
      </c>
      <c r="AJ4" s="4" t="s">
        <v>14</v>
      </c>
      <c r="AK4" s="5" t="s">
        <v>15</v>
      </c>
      <c r="AL4" s="6" t="s">
        <v>115</v>
      </c>
      <c r="AM4" s="7" t="s">
        <v>16</v>
      </c>
      <c r="AN4" s="4" t="s">
        <v>14</v>
      </c>
      <c r="AO4" s="5" t="s">
        <v>15</v>
      </c>
      <c r="AP4" s="6" t="s">
        <v>98</v>
      </c>
      <c r="AQ4" s="7" t="s">
        <v>16</v>
      </c>
      <c r="AR4" s="4" t="s">
        <v>14</v>
      </c>
      <c r="AS4" s="5" t="s">
        <v>15</v>
      </c>
      <c r="AT4" s="6" t="s">
        <v>98</v>
      </c>
      <c r="AU4" s="7" t="s">
        <v>16</v>
      </c>
      <c r="AV4" s="4" t="s">
        <v>14</v>
      </c>
      <c r="AW4" s="5" t="s">
        <v>15</v>
      </c>
      <c r="AX4" s="6" t="s">
        <v>98</v>
      </c>
      <c r="AY4" s="7" t="s">
        <v>16</v>
      </c>
      <c r="AZ4" s="4" t="s">
        <v>14</v>
      </c>
      <c r="BA4" s="5" t="s">
        <v>15</v>
      </c>
      <c r="BB4" s="73" t="s">
        <v>84</v>
      </c>
      <c r="BC4" s="75" t="s">
        <v>16</v>
      </c>
    </row>
    <row r="5" spans="1:55" ht="12.75" customHeight="1" thickBot="1" x14ac:dyDescent="0.35">
      <c r="A5" s="10" t="s">
        <v>18</v>
      </c>
      <c r="B5" s="11"/>
      <c r="C5" s="12"/>
      <c r="D5" s="12"/>
      <c r="E5" s="13" t="str">
        <f t="shared" ref="E5:E37" si="0">+IFERROR(D5/B5,"----")</f>
        <v>----</v>
      </c>
      <c r="F5" s="11"/>
      <c r="G5" s="12"/>
      <c r="H5" s="12"/>
      <c r="I5" s="14" t="str">
        <f t="shared" ref="I5:I37" si="1">+IFERROR(H5/F5,"----")</f>
        <v>----</v>
      </c>
      <c r="J5" s="11"/>
      <c r="K5" s="12"/>
      <c r="L5" s="12"/>
      <c r="M5" s="13" t="str">
        <f t="shared" ref="M5:M23" si="2">+IFERROR(L5/J5,"----")</f>
        <v>----</v>
      </c>
      <c r="N5" s="11"/>
      <c r="O5" s="12"/>
      <c r="P5" s="12"/>
      <c r="Q5" s="13" t="str">
        <f t="shared" ref="Q5:Q10" si="3">+IFERROR(P5/N5,"----")</f>
        <v>----</v>
      </c>
      <c r="R5" s="11"/>
      <c r="S5" s="12"/>
      <c r="T5" s="12"/>
      <c r="U5" s="13" t="str">
        <f t="shared" ref="U5:U13" si="4">+IFERROR(T5/R5,"----")</f>
        <v>----</v>
      </c>
      <c r="V5" s="11"/>
      <c r="W5" s="12"/>
      <c r="X5" s="72"/>
      <c r="Y5" s="74" t="str">
        <f t="shared" ref="Y5:Y10" si="5">+IFERROR(X5/V5,"----")</f>
        <v>----</v>
      </c>
      <c r="Z5" s="16"/>
      <c r="AA5" s="10" t="s">
        <v>18</v>
      </c>
      <c r="AB5" s="11"/>
      <c r="AC5" s="12"/>
      <c r="AD5" s="12"/>
      <c r="AE5" s="15" t="str">
        <f t="shared" ref="AE5:AE19" si="6">+IFERROR(AD5/AB5,"----")</f>
        <v>----</v>
      </c>
      <c r="AF5" s="11"/>
      <c r="AG5" s="12"/>
      <c r="AH5" s="12"/>
      <c r="AI5" s="13" t="str">
        <f t="shared" ref="AI5:AI17" si="7">+IFERROR(AH5/AF5,"----")</f>
        <v>----</v>
      </c>
      <c r="AJ5" s="11"/>
      <c r="AK5" s="12"/>
      <c r="AL5" s="12"/>
      <c r="AM5" s="15" t="str">
        <f t="shared" ref="AM5:AM10" si="8">+IFERROR(AL5/AJ5,"----")</f>
        <v>----</v>
      </c>
      <c r="AN5" s="11"/>
      <c r="AO5" s="12"/>
      <c r="AP5" s="12"/>
      <c r="AQ5" s="17" t="str">
        <f t="shared" ref="AQ5:AQ37" si="9">+IFERROR(AP5/AN5,"----")</f>
        <v>----</v>
      </c>
      <c r="AR5" s="11"/>
      <c r="AS5" s="12"/>
      <c r="AT5" s="12"/>
      <c r="AU5" s="14" t="str">
        <f t="shared" ref="AU5:AU37" si="10">+IFERROR(AT5/AR5,"----")</f>
        <v>----</v>
      </c>
      <c r="AV5" s="11"/>
      <c r="AW5" s="12"/>
      <c r="AX5" s="12"/>
      <c r="AY5" s="13" t="str">
        <f t="shared" ref="AY5:AY10" si="11">+IFERROR(AX5/AV5,"----")</f>
        <v>----</v>
      </c>
      <c r="AZ5" s="11">
        <f t="shared" ref="AZ5:AZ36" si="12">B5+F5+J5+N5+R5+V5+AB5+AF5+AJ5+AN5+AR5+AV5</f>
        <v>0</v>
      </c>
      <c r="BA5" s="18">
        <f t="shared" ref="BA5:BA36" si="13">C5+G5+K5+O5+S5+W5+AC5+AG5+AK5+AO5+AS5+AW5</f>
        <v>0</v>
      </c>
      <c r="BB5" s="12">
        <f t="shared" ref="BB5:BB33" si="14">D5+H5+L5+P5+T5+X5+AD5+AH5+AL5+AP5+AT5+AX5</f>
        <v>0</v>
      </c>
      <c r="BC5" s="74" t="str">
        <f>+IFERROR(BB5/AZ5,"----")</f>
        <v>----</v>
      </c>
    </row>
    <row r="6" spans="1:55" ht="12.75" customHeight="1" thickBot="1" x14ac:dyDescent="0.35">
      <c r="A6" s="19" t="s">
        <v>19</v>
      </c>
      <c r="B6" s="11">
        <v>2000000</v>
      </c>
      <c r="C6" s="12">
        <v>1500000</v>
      </c>
      <c r="D6" s="12">
        <v>1456000</v>
      </c>
      <c r="E6" s="13">
        <f t="shared" si="0"/>
        <v>0.72799999999999998</v>
      </c>
      <c r="F6" s="11">
        <v>2000000</v>
      </c>
      <c r="G6" s="12">
        <v>520000</v>
      </c>
      <c r="H6" s="12">
        <v>520000</v>
      </c>
      <c r="I6" s="14">
        <f t="shared" si="1"/>
        <v>0.26</v>
      </c>
      <c r="J6" s="11">
        <v>2000000</v>
      </c>
      <c r="K6" s="11">
        <v>1211250</v>
      </c>
      <c r="L6" s="12">
        <v>1211250</v>
      </c>
      <c r="M6" s="13">
        <f t="shared" si="2"/>
        <v>0.60562499999999997</v>
      </c>
      <c r="N6" s="11">
        <v>2000000</v>
      </c>
      <c r="O6" s="12">
        <v>912000</v>
      </c>
      <c r="P6" s="12">
        <v>912000</v>
      </c>
      <c r="Q6" s="13">
        <f t="shared" si="3"/>
        <v>0.45600000000000002</v>
      </c>
      <c r="R6" s="11">
        <v>2500000</v>
      </c>
      <c r="S6" s="12">
        <v>700000</v>
      </c>
      <c r="T6" s="12">
        <v>672000</v>
      </c>
      <c r="U6" s="13">
        <f t="shared" si="4"/>
        <v>0.26879999999999998</v>
      </c>
      <c r="V6" s="11">
        <v>2500000</v>
      </c>
      <c r="W6" s="84">
        <v>1200000</v>
      </c>
      <c r="X6" s="88">
        <v>1200000</v>
      </c>
      <c r="Y6" s="15">
        <f t="shared" si="5"/>
        <v>0.48</v>
      </c>
      <c r="Z6" s="16"/>
      <c r="AA6" s="19" t="s">
        <v>19</v>
      </c>
      <c r="AB6" s="11">
        <v>2500000</v>
      </c>
      <c r="AC6" s="12">
        <v>2278500</v>
      </c>
      <c r="AD6" s="12">
        <v>2278500</v>
      </c>
      <c r="AE6" s="15">
        <f t="shared" si="6"/>
        <v>0.91139999999999999</v>
      </c>
      <c r="AF6" s="11">
        <v>2500000</v>
      </c>
      <c r="AG6" s="12">
        <v>2322000</v>
      </c>
      <c r="AH6" s="12">
        <v>2322000</v>
      </c>
      <c r="AI6" s="13">
        <f t="shared" si="7"/>
        <v>0.92879999999999996</v>
      </c>
      <c r="AJ6" s="11">
        <v>2500000</v>
      </c>
      <c r="AK6" s="12">
        <v>5226677.5</v>
      </c>
      <c r="AL6" s="12">
        <v>3152750</v>
      </c>
      <c r="AM6" s="15">
        <f t="shared" si="8"/>
        <v>1.2611000000000001</v>
      </c>
      <c r="AN6" s="11">
        <v>2500000</v>
      </c>
      <c r="AO6" s="12">
        <v>3000000</v>
      </c>
      <c r="AP6" s="12"/>
      <c r="AQ6" s="17">
        <f t="shared" si="9"/>
        <v>0</v>
      </c>
      <c r="AR6" s="11">
        <v>2500000</v>
      </c>
      <c r="AS6" s="12">
        <v>4000000</v>
      </c>
      <c r="AT6" s="12"/>
      <c r="AU6" s="14">
        <f t="shared" si="10"/>
        <v>0</v>
      </c>
      <c r="AV6" s="11">
        <v>2500000</v>
      </c>
      <c r="AW6" s="12">
        <v>5000000</v>
      </c>
      <c r="AX6" s="12"/>
      <c r="AY6" s="13">
        <f t="shared" si="11"/>
        <v>0</v>
      </c>
      <c r="AZ6" s="11">
        <f>B6+F6+J6+N6+R6+V6+AB6+AF6+AJ6+AN6+AR6+AV6</f>
        <v>28000000</v>
      </c>
      <c r="BA6" s="18">
        <f>C6+G6+K6+O6+S6+W6+AC6+AG6+AK6+AO6+AS6+AW6</f>
        <v>27870427.5</v>
      </c>
      <c r="BB6" s="12">
        <f t="shared" si="14"/>
        <v>13724500</v>
      </c>
      <c r="BC6" s="15">
        <f>+IFERROR(BB6/AZ6,"----")</f>
        <v>0.49016071428571428</v>
      </c>
    </row>
    <row r="7" spans="1:55" ht="13.5" customHeight="1" thickBot="1" x14ac:dyDescent="0.35">
      <c r="A7" s="20" t="s">
        <v>20</v>
      </c>
      <c r="B7" s="11"/>
      <c r="C7" s="12"/>
      <c r="D7" s="12"/>
      <c r="E7" s="21" t="str">
        <f t="shared" si="0"/>
        <v>----</v>
      </c>
      <c r="F7" s="11"/>
      <c r="G7" s="12"/>
      <c r="H7" s="12"/>
      <c r="I7" s="22" t="str">
        <f t="shared" si="1"/>
        <v>----</v>
      </c>
      <c r="J7" s="11"/>
      <c r="K7" s="12"/>
      <c r="L7" s="12"/>
      <c r="M7" s="22" t="str">
        <f t="shared" si="2"/>
        <v>----</v>
      </c>
      <c r="N7" s="11"/>
      <c r="O7" s="11"/>
      <c r="P7" s="12"/>
      <c r="Q7" s="22" t="str">
        <f t="shared" si="3"/>
        <v>----</v>
      </c>
      <c r="R7" s="11"/>
      <c r="S7" s="12"/>
      <c r="T7" s="12"/>
      <c r="U7" s="22" t="str">
        <f t="shared" si="4"/>
        <v>----</v>
      </c>
      <c r="V7" s="11"/>
      <c r="W7" s="84"/>
      <c r="X7" s="88"/>
      <c r="Y7" s="23" t="str">
        <f t="shared" si="5"/>
        <v>----</v>
      </c>
      <c r="Z7" s="16"/>
      <c r="AA7" s="20" t="s">
        <v>20</v>
      </c>
      <c r="AB7" s="11"/>
      <c r="AC7" s="12"/>
      <c r="AD7" s="12"/>
      <c r="AE7" s="15" t="str">
        <f t="shared" si="6"/>
        <v>----</v>
      </c>
      <c r="AF7" s="11"/>
      <c r="AG7" s="12"/>
      <c r="AH7" s="12"/>
      <c r="AI7" s="22" t="str">
        <f t="shared" si="7"/>
        <v>----</v>
      </c>
      <c r="AJ7" s="11"/>
      <c r="AK7" s="12"/>
      <c r="AL7" s="12"/>
      <c r="AM7" s="22" t="str">
        <f t="shared" si="8"/>
        <v>----</v>
      </c>
      <c r="AN7" s="11"/>
      <c r="AO7" s="12"/>
      <c r="AP7" s="12"/>
      <c r="AQ7" s="24" t="str">
        <f t="shared" si="9"/>
        <v>----</v>
      </c>
      <c r="AR7" s="11"/>
      <c r="AS7" s="12"/>
      <c r="AT7" s="12"/>
      <c r="AU7" s="24" t="str">
        <f t="shared" si="10"/>
        <v>----</v>
      </c>
      <c r="AV7" s="11"/>
      <c r="AW7" s="12"/>
      <c r="AX7" s="12"/>
      <c r="AY7" s="22" t="str">
        <f t="shared" si="11"/>
        <v>----</v>
      </c>
      <c r="AZ7" s="25">
        <f t="shared" si="12"/>
        <v>0</v>
      </c>
      <c r="BA7" s="26">
        <f t="shared" si="13"/>
        <v>0</v>
      </c>
      <c r="BB7" s="12">
        <f t="shared" si="14"/>
        <v>0</v>
      </c>
      <c r="BC7" s="23" t="str">
        <f t="shared" ref="BC7:BC11" si="15">+IFERROR(BB7/AZ7,"----")</f>
        <v>----</v>
      </c>
    </row>
    <row r="8" spans="1:55" ht="12.75" customHeight="1" thickBot="1" x14ac:dyDescent="0.35">
      <c r="A8" s="20" t="s">
        <v>21</v>
      </c>
      <c r="B8" s="11"/>
      <c r="C8" s="12"/>
      <c r="D8" s="12"/>
      <c r="E8" s="22" t="str">
        <f t="shared" si="0"/>
        <v>----</v>
      </c>
      <c r="F8" s="11"/>
      <c r="G8" s="12"/>
      <c r="H8" s="12"/>
      <c r="I8" s="22" t="str">
        <f t="shared" si="1"/>
        <v>----</v>
      </c>
      <c r="J8" s="11"/>
      <c r="K8" s="12"/>
      <c r="L8" s="12"/>
      <c r="M8" s="22" t="str">
        <f t="shared" si="2"/>
        <v>----</v>
      </c>
      <c r="N8" s="11"/>
      <c r="O8" s="11"/>
      <c r="P8" s="12"/>
      <c r="Q8" s="22" t="str">
        <f t="shared" si="3"/>
        <v>----</v>
      </c>
      <c r="R8" s="11"/>
      <c r="S8" s="12"/>
      <c r="T8" s="12"/>
      <c r="U8" s="22" t="str">
        <f t="shared" si="4"/>
        <v>----</v>
      </c>
      <c r="V8" s="126"/>
      <c r="W8" s="133"/>
      <c r="X8" s="88"/>
      <c r="Y8" s="23" t="str">
        <f t="shared" si="5"/>
        <v>----</v>
      </c>
      <c r="Z8" s="16"/>
      <c r="AA8" s="20" t="s">
        <v>21</v>
      </c>
      <c r="AB8" s="11"/>
      <c r="AC8" s="12"/>
      <c r="AD8" s="12"/>
      <c r="AE8" s="15" t="str">
        <f t="shared" si="6"/>
        <v>----</v>
      </c>
      <c r="AF8" s="11"/>
      <c r="AG8" s="12"/>
      <c r="AH8" s="12"/>
      <c r="AI8" s="22" t="str">
        <f t="shared" si="7"/>
        <v>----</v>
      </c>
      <c r="AJ8" s="11"/>
      <c r="AK8" s="12"/>
      <c r="AL8" s="12"/>
      <c r="AM8" s="22" t="str">
        <f t="shared" si="8"/>
        <v>----</v>
      </c>
      <c r="AN8" s="11"/>
      <c r="AO8" s="12"/>
      <c r="AP8" s="12"/>
      <c r="AQ8" s="24" t="str">
        <f t="shared" si="9"/>
        <v>----</v>
      </c>
      <c r="AR8" s="11"/>
      <c r="AS8" s="12"/>
      <c r="AT8" s="12"/>
      <c r="AU8" s="14" t="str">
        <f t="shared" si="10"/>
        <v>----</v>
      </c>
      <c r="AV8" s="11"/>
      <c r="AW8" s="12"/>
      <c r="AX8" s="12"/>
      <c r="AY8" s="22" t="str">
        <f t="shared" si="11"/>
        <v>----</v>
      </c>
      <c r="AZ8" s="25">
        <f t="shared" si="12"/>
        <v>0</v>
      </c>
      <c r="BA8" s="26">
        <f t="shared" si="13"/>
        <v>0</v>
      </c>
      <c r="BB8" s="12">
        <f t="shared" si="14"/>
        <v>0</v>
      </c>
      <c r="BC8" s="23" t="str">
        <f t="shared" si="15"/>
        <v>----</v>
      </c>
    </row>
    <row r="9" spans="1:55" ht="12.75" customHeight="1" thickBot="1" x14ac:dyDescent="0.35">
      <c r="A9" s="20" t="s">
        <v>22</v>
      </c>
      <c r="B9" s="11">
        <v>1000000</v>
      </c>
      <c r="C9" s="12">
        <v>700000</v>
      </c>
      <c r="D9" s="12">
        <v>545946.67999999993</v>
      </c>
      <c r="E9" s="22">
        <f t="shared" si="0"/>
        <v>0.54594667999999991</v>
      </c>
      <c r="F9" s="11">
        <v>1000000</v>
      </c>
      <c r="G9" s="12">
        <v>834794</v>
      </c>
      <c r="H9" s="12">
        <v>834794</v>
      </c>
      <c r="I9" s="22">
        <f t="shared" si="1"/>
        <v>0.83479400000000004</v>
      </c>
      <c r="J9" s="11">
        <v>1000000</v>
      </c>
      <c r="K9" s="12">
        <v>959690.4</v>
      </c>
      <c r="L9" s="12">
        <v>959690.4</v>
      </c>
      <c r="M9" s="22">
        <f t="shared" si="2"/>
        <v>0.95969040000000005</v>
      </c>
      <c r="N9" s="11">
        <v>1000000</v>
      </c>
      <c r="O9" s="12">
        <v>1466560.3</v>
      </c>
      <c r="P9" s="12">
        <v>1466560.3</v>
      </c>
      <c r="Q9" s="22">
        <f t="shared" si="3"/>
        <v>1.4665603</v>
      </c>
      <c r="R9" s="11">
        <v>1200000</v>
      </c>
      <c r="S9" s="12">
        <v>2262387.9</v>
      </c>
      <c r="T9" s="12">
        <v>2262387.9</v>
      </c>
      <c r="U9" s="22">
        <f t="shared" si="4"/>
        <v>1.8853232499999999</v>
      </c>
      <c r="V9" s="138">
        <v>1200000</v>
      </c>
      <c r="W9" s="139">
        <v>400000</v>
      </c>
      <c r="X9" s="88">
        <v>404551</v>
      </c>
      <c r="Y9" s="23">
        <f t="shared" si="5"/>
        <v>0.33712583333333335</v>
      </c>
      <c r="Z9" s="16"/>
      <c r="AA9" s="20" t="s">
        <v>22</v>
      </c>
      <c r="AB9" s="11">
        <v>1200000</v>
      </c>
      <c r="AC9" s="12">
        <v>1064000</v>
      </c>
      <c r="AD9" s="12">
        <v>1064000</v>
      </c>
      <c r="AE9" s="15">
        <f t="shared" si="6"/>
        <v>0.88666666666666671</v>
      </c>
      <c r="AF9" s="11">
        <v>1200000</v>
      </c>
      <c r="AG9" s="12">
        <v>260000</v>
      </c>
      <c r="AH9" s="12">
        <v>260000</v>
      </c>
      <c r="AI9" s="22">
        <f t="shared" si="7"/>
        <v>0.21666666666666667</v>
      </c>
      <c r="AJ9" s="11">
        <v>1200000</v>
      </c>
      <c r="AK9" s="12">
        <v>788000</v>
      </c>
      <c r="AL9" s="12">
        <v>584000</v>
      </c>
      <c r="AM9" s="22">
        <f t="shared" si="8"/>
        <v>0.48666666666666669</v>
      </c>
      <c r="AN9" s="11">
        <v>1200000</v>
      </c>
      <c r="AO9" s="12">
        <v>1000000</v>
      </c>
      <c r="AP9" s="12"/>
      <c r="AQ9" s="24">
        <f t="shared" si="9"/>
        <v>0</v>
      </c>
      <c r="AR9" s="11">
        <v>1200000</v>
      </c>
      <c r="AS9" s="12">
        <v>1000000</v>
      </c>
      <c r="AT9" s="12"/>
      <c r="AU9" s="22">
        <f t="shared" si="10"/>
        <v>0</v>
      </c>
      <c r="AV9" s="11">
        <v>1200000</v>
      </c>
      <c r="AW9" s="12">
        <v>1000000</v>
      </c>
      <c r="AX9" s="12"/>
      <c r="AY9" s="22">
        <f t="shared" si="11"/>
        <v>0</v>
      </c>
      <c r="AZ9" s="25">
        <f t="shared" si="12"/>
        <v>13600000</v>
      </c>
      <c r="BA9" s="26">
        <f t="shared" si="13"/>
        <v>11735432.6</v>
      </c>
      <c r="BB9" s="12">
        <f t="shared" si="14"/>
        <v>8381930.2799999993</v>
      </c>
      <c r="BC9" s="23">
        <f>+IFERROR(BB9/AZ9,"----")</f>
        <v>0.61631840294117646</v>
      </c>
    </row>
    <row r="10" spans="1:55" ht="12.75" customHeight="1" thickBot="1" x14ac:dyDescent="0.35">
      <c r="A10" s="20" t="s">
        <v>23</v>
      </c>
      <c r="B10" s="11">
        <v>200000</v>
      </c>
      <c r="C10" s="11">
        <v>150000</v>
      </c>
      <c r="D10" s="12">
        <v>187801.65</v>
      </c>
      <c r="E10" s="24">
        <f t="shared" si="0"/>
        <v>0.93900824999999999</v>
      </c>
      <c r="F10" s="11">
        <v>200000</v>
      </c>
      <c r="G10" s="12">
        <v>154639.35</v>
      </c>
      <c r="H10" s="12">
        <v>154639.35</v>
      </c>
      <c r="I10" s="24">
        <f t="shared" si="1"/>
        <v>0.77319674999999999</v>
      </c>
      <c r="J10" s="11">
        <v>200000</v>
      </c>
      <c r="K10" s="12">
        <v>220179.6</v>
      </c>
      <c r="L10" s="12">
        <v>220179.6</v>
      </c>
      <c r="M10" s="24">
        <f t="shared" si="2"/>
        <v>1.1008979999999999</v>
      </c>
      <c r="N10" s="11">
        <v>200000</v>
      </c>
      <c r="O10" s="12">
        <v>222288.44999999998</v>
      </c>
      <c r="P10" s="12">
        <v>222288.44999999998</v>
      </c>
      <c r="Q10" s="22">
        <f t="shared" si="3"/>
        <v>1.1114422499999999</v>
      </c>
      <c r="R10" s="11">
        <v>200000</v>
      </c>
      <c r="S10" s="11">
        <v>215550.05</v>
      </c>
      <c r="T10" s="12">
        <v>215550.05</v>
      </c>
      <c r="U10" s="22">
        <f t="shared" si="4"/>
        <v>1.07775025</v>
      </c>
      <c r="V10" s="138">
        <v>200000</v>
      </c>
      <c r="W10" s="139">
        <v>200000</v>
      </c>
      <c r="X10" s="140">
        <v>178116.1</v>
      </c>
      <c r="Y10" s="23">
        <f t="shared" si="5"/>
        <v>0.8905805</v>
      </c>
      <c r="Z10" s="16"/>
      <c r="AA10" s="20" t="s">
        <v>23</v>
      </c>
      <c r="AB10" s="11">
        <v>200000</v>
      </c>
      <c r="AC10" s="12">
        <v>266689.95</v>
      </c>
      <c r="AD10" s="12">
        <v>266689.95</v>
      </c>
      <c r="AE10" s="15">
        <f t="shared" si="6"/>
        <v>1.33344975</v>
      </c>
      <c r="AF10" s="11">
        <v>200000</v>
      </c>
      <c r="AG10" s="12">
        <v>199917.45</v>
      </c>
      <c r="AH10" s="12">
        <v>199917.45</v>
      </c>
      <c r="AI10" s="22">
        <f t="shared" si="7"/>
        <v>0.99958725000000004</v>
      </c>
      <c r="AJ10" s="11">
        <v>200000</v>
      </c>
      <c r="AK10" s="12">
        <v>200000</v>
      </c>
      <c r="AL10" s="12">
        <v>172766.3</v>
      </c>
      <c r="AM10" s="22">
        <f t="shared" si="8"/>
        <v>0.86383149999999997</v>
      </c>
      <c r="AN10" s="11">
        <v>200000</v>
      </c>
      <c r="AO10" s="12">
        <v>200000</v>
      </c>
      <c r="AP10" s="12"/>
      <c r="AQ10" s="24">
        <f t="shared" si="9"/>
        <v>0</v>
      </c>
      <c r="AR10" s="11">
        <v>200000</v>
      </c>
      <c r="AS10" s="12">
        <v>200000</v>
      </c>
      <c r="AT10" s="12"/>
      <c r="AU10" s="14">
        <f t="shared" si="10"/>
        <v>0</v>
      </c>
      <c r="AV10" s="11">
        <v>200000</v>
      </c>
      <c r="AW10" s="12">
        <v>200000</v>
      </c>
      <c r="AX10" s="12"/>
      <c r="AY10" s="22">
        <f t="shared" si="11"/>
        <v>0</v>
      </c>
      <c r="AZ10" s="25">
        <f t="shared" si="12"/>
        <v>2400000</v>
      </c>
      <c r="BA10" s="26">
        <f t="shared" si="13"/>
        <v>2429264.8499999996</v>
      </c>
      <c r="BB10" s="12">
        <f t="shared" si="14"/>
        <v>1817948.9</v>
      </c>
      <c r="BC10" s="23">
        <f t="shared" si="15"/>
        <v>0.75747870833333331</v>
      </c>
    </row>
    <row r="11" spans="1:55" ht="12.75" customHeight="1" thickBot="1" x14ac:dyDescent="0.35">
      <c r="A11" s="20" t="s">
        <v>24</v>
      </c>
      <c r="B11" s="11">
        <v>150000</v>
      </c>
      <c r="C11" s="12">
        <v>65088.3</v>
      </c>
      <c r="D11" s="12">
        <v>65088.3</v>
      </c>
      <c r="E11" s="24">
        <f t="shared" si="0"/>
        <v>0.43392200000000003</v>
      </c>
      <c r="F11" s="11">
        <v>50000</v>
      </c>
      <c r="G11" s="12">
        <v>60288.9</v>
      </c>
      <c r="H11" s="12">
        <v>60288.9</v>
      </c>
      <c r="I11" s="24">
        <f t="shared" si="1"/>
        <v>1.205778</v>
      </c>
      <c r="J11" s="11">
        <v>50000</v>
      </c>
      <c r="K11" s="12">
        <v>68457</v>
      </c>
      <c r="L11" s="12">
        <v>68457</v>
      </c>
      <c r="M11" s="24">
        <f t="shared" si="2"/>
        <v>1.36914</v>
      </c>
      <c r="N11" s="11">
        <v>100000</v>
      </c>
      <c r="O11" s="12">
        <v>120549.3</v>
      </c>
      <c r="P11" s="12">
        <v>120549.3</v>
      </c>
      <c r="Q11" s="22"/>
      <c r="R11" s="11">
        <v>50000</v>
      </c>
      <c r="S11" s="12">
        <v>60157.8</v>
      </c>
      <c r="T11" s="12">
        <v>60157.8</v>
      </c>
      <c r="U11" s="22">
        <f t="shared" si="4"/>
        <v>1.2031560000000001</v>
      </c>
      <c r="V11" s="137">
        <v>50000</v>
      </c>
      <c r="W11" s="135">
        <v>56378.7</v>
      </c>
      <c r="X11" s="135">
        <v>56378.7</v>
      </c>
      <c r="Y11" s="23"/>
      <c r="Z11" s="16"/>
      <c r="AA11" s="20" t="s">
        <v>24</v>
      </c>
      <c r="AB11" s="11">
        <v>50000</v>
      </c>
      <c r="AC11" s="12">
        <v>100000</v>
      </c>
      <c r="AD11" s="12">
        <v>56709.3</v>
      </c>
      <c r="AE11" s="15">
        <f t="shared" si="6"/>
        <v>1.1341860000000001</v>
      </c>
      <c r="AF11" s="11">
        <v>50000</v>
      </c>
      <c r="AG11" s="12">
        <v>61594.2</v>
      </c>
      <c r="AH11" s="12">
        <v>61594.2</v>
      </c>
      <c r="AI11" s="22">
        <f t="shared" si="7"/>
        <v>1.231884</v>
      </c>
      <c r="AJ11" s="11">
        <v>50000</v>
      </c>
      <c r="AK11" s="12"/>
      <c r="AL11" s="12"/>
      <c r="AM11" s="22"/>
      <c r="AN11" s="11">
        <v>50000</v>
      </c>
      <c r="AO11" s="12">
        <v>100000</v>
      </c>
      <c r="AP11" s="12"/>
      <c r="AQ11" s="24">
        <f t="shared" si="9"/>
        <v>0</v>
      </c>
      <c r="AR11" s="11">
        <v>50000</v>
      </c>
      <c r="AS11" s="12">
        <v>100000</v>
      </c>
      <c r="AT11" s="12"/>
      <c r="AU11" s="27">
        <f t="shared" si="10"/>
        <v>0</v>
      </c>
      <c r="AV11" s="11">
        <v>50000</v>
      </c>
      <c r="AW11" s="12">
        <v>100000</v>
      </c>
      <c r="AX11" s="12"/>
      <c r="AY11" s="22"/>
      <c r="AZ11" s="25">
        <f t="shared" si="12"/>
        <v>750000</v>
      </c>
      <c r="BA11" s="26">
        <f t="shared" si="13"/>
        <v>892514.2</v>
      </c>
      <c r="BB11" s="12">
        <f t="shared" si="14"/>
        <v>549223.5</v>
      </c>
      <c r="BC11" s="23">
        <f t="shared" si="15"/>
        <v>0.732298</v>
      </c>
    </row>
    <row r="12" spans="1:55" ht="12.75" customHeight="1" thickBot="1" x14ac:dyDescent="0.35">
      <c r="A12" s="19" t="s">
        <v>25</v>
      </c>
      <c r="B12" s="11">
        <v>150000</v>
      </c>
      <c r="C12" s="11">
        <v>43443.7</v>
      </c>
      <c r="D12" s="12">
        <v>43443.7</v>
      </c>
      <c r="E12" s="13">
        <f t="shared" si="0"/>
        <v>0.28962466666666664</v>
      </c>
      <c r="F12" s="11">
        <v>100000</v>
      </c>
      <c r="G12" s="12"/>
      <c r="H12" s="12"/>
      <c r="I12" s="14">
        <f t="shared" si="1"/>
        <v>0</v>
      </c>
      <c r="J12" s="11">
        <v>100000</v>
      </c>
      <c r="K12" s="12">
        <v>10915</v>
      </c>
      <c r="L12" s="12">
        <v>10915</v>
      </c>
      <c r="M12" s="13">
        <f t="shared" si="2"/>
        <v>0.10915</v>
      </c>
      <c r="N12" s="11">
        <v>50000</v>
      </c>
      <c r="O12" s="12"/>
      <c r="P12" s="12"/>
      <c r="Q12" s="13">
        <f>+IFERROR(P12/N12,"----")</f>
        <v>0</v>
      </c>
      <c r="R12" s="11">
        <v>100000</v>
      </c>
      <c r="S12" s="11">
        <v>50000</v>
      </c>
      <c r="T12" s="12">
        <v>25250</v>
      </c>
      <c r="U12" s="22">
        <f t="shared" si="4"/>
        <v>0.2525</v>
      </c>
      <c r="V12" s="11">
        <v>100000</v>
      </c>
      <c r="W12" s="86">
        <v>32235</v>
      </c>
      <c r="X12" s="86">
        <v>32235</v>
      </c>
      <c r="Y12" s="15">
        <f>+IFERROR(X12/V12,"----")</f>
        <v>0.32235000000000003</v>
      </c>
      <c r="Z12" s="16"/>
      <c r="AA12" s="19" t="s">
        <v>25</v>
      </c>
      <c r="AB12" s="11">
        <v>100000</v>
      </c>
      <c r="AC12" s="12">
        <v>31845</v>
      </c>
      <c r="AD12" s="12">
        <v>31845</v>
      </c>
      <c r="AE12" s="15">
        <f t="shared" si="6"/>
        <v>0.31845000000000001</v>
      </c>
      <c r="AF12" s="11">
        <v>100000</v>
      </c>
      <c r="AG12" s="12"/>
      <c r="AH12" s="12"/>
      <c r="AI12" s="13">
        <f t="shared" si="7"/>
        <v>0</v>
      </c>
      <c r="AJ12" s="11">
        <v>100000</v>
      </c>
      <c r="AK12" s="12"/>
      <c r="AL12" s="12"/>
      <c r="AM12" s="15">
        <f t="shared" ref="AM12:AM55" si="16">+IFERROR(AL12/AJ12,"----")</f>
        <v>0</v>
      </c>
      <c r="AN12" s="11">
        <v>100000</v>
      </c>
      <c r="AO12" s="12">
        <v>100000</v>
      </c>
      <c r="AP12" s="12"/>
      <c r="AQ12" s="17">
        <f t="shared" si="9"/>
        <v>0</v>
      </c>
      <c r="AR12" s="11">
        <v>100000</v>
      </c>
      <c r="AS12" s="12">
        <v>100000</v>
      </c>
      <c r="AT12" s="12"/>
      <c r="AU12" s="14">
        <f t="shared" si="10"/>
        <v>0</v>
      </c>
      <c r="AV12" s="11">
        <v>100000</v>
      </c>
      <c r="AW12" s="12">
        <v>100000</v>
      </c>
      <c r="AX12" s="12"/>
      <c r="AY12" s="13">
        <f>+IFERROR(AX12/AV12,"----")</f>
        <v>0</v>
      </c>
      <c r="AZ12" s="11">
        <f t="shared" si="12"/>
        <v>1200000</v>
      </c>
      <c r="BA12" s="18">
        <f t="shared" si="13"/>
        <v>468438.7</v>
      </c>
      <c r="BB12" s="12">
        <f t="shared" si="14"/>
        <v>143688.70000000001</v>
      </c>
      <c r="BC12" s="15">
        <f>+IFERROR(BB12/AZ12,"----")</f>
        <v>0.11974058333333334</v>
      </c>
    </row>
    <row r="13" spans="1:55" ht="13.5" customHeight="1" thickBot="1" x14ac:dyDescent="0.35">
      <c r="A13" s="20" t="s">
        <v>26</v>
      </c>
      <c r="B13" s="11">
        <v>100000</v>
      </c>
      <c r="C13" s="12">
        <v>117502</v>
      </c>
      <c r="D13" s="12">
        <v>117502</v>
      </c>
      <c r="E13" s="21">
        <f>+IFERROR(D13/B13,"----")</f>
        <v>1.17502</v>
      </c>
      <c r="F13" s="11">
        <v>100000</v>
      </c>
      <c r="G13" s="12">
        <v>98934</v>
      </c>
      <c r="H13" s="12">
        <v>98934</v>
      </c>
      <c r="I13" s="22">
        <f t="shared" si="1"/>
        <v>0.98934</v>
      </c>
      <c r="J13" s="11">
        <v>100000</v>
      </c>
      <c r="K13" s="12">
        <v>97878</v>
      </c>
      <c r="L13" s="12">
        <v>97878</v>
      </c>
      <c r="M13" s="22">
        <f t="shared" si="2"/>
        <v>0.97877999999999998</v>
      </c>
      <c r="N13" s="11">
        <v>100000</v>
      </c>
      <c r="O13" s="12">
        <v>138154.5</v>
      </c>
      <c r="P13" s="12">
        <v>138154.5</v>
      </c>
      <c r="Q13" s="22">
        <f>+IFERROR(P13/N13,"----")</f>
        <v>1.381545</v>
      </c>
      <c r="R13" s="11">
        <v>100000</v>
      </c>
      <c r="S13" s="12">
        <v>41426</v>
      </c>
      <c r="T13" s="12">
        <v>41426</v>
      </c>
      <c r="U13" s="22">
        <f t="shared" si="4"/>
        <v>0.41426000000000002</v>
      </c>
      <c r="V13" s="11">
        <v>100000</v>
      </c>
      <c r="W13" s="86">
        <v>74800</v>
      </c>
      <c r="X13" s="86">
        <v>74800</v>
      </c>
      <c r="Y13" s="23">
        <f>+IFERROR(X13/V13,"----")</f>
        <v>0.748</v>
      </c>
      <c r="Z13" s="16"/>
      <c r="AA13" s="20" t="s">
        <v>26</v>
      </c>
      <c r="AB13" s="11">
        <v>100000</v>
      </c>
      <c r="AC13" s="12">
        <v>109637</v>
      </c>
      <c r="AD13" s="12">
        <v>109637</v>
      </c>
      <c r="AE13" s="15">
        <f t="shared" si="6"/>
        <v>1.0963700000000001</v>
      </c>
      <c r="AF13" s="11">
        <v>100000</v>
      </c>
      <c r="AG13" s="12">
        <v>70444</v>
      </c>
      <c r="AH13" s="12">
        <v>70444</v>
      </c>
      <c r="AI13" s="22">
        <f t="shared" si="7"/>
        <v>0.70443999999999996</v>
      </c>
      <c r="AJ13" s="11">
        <v>100000</v>
      </c>
      <c r="AK13" s="12">
        <v>100000</v>
      </c>
      <c r="AL13" s="12">
        <v>74123.5</v>
      </c>
      <c r="AM13" s="22">
        <f t="shared" si="16"/>
        <v>0.74123499999999998</v>
      </c>
      <c r="AN13" s="11">
        <v>100000</v>
      </c>
      <c r="AO13" s="12">
        <v>100000</v>
      </c>
      <c r="AP13" s="12"/>
      <c r="AQ13" s="24">
        <f t="shared" si="9"/>
        <v>0</v>
      </c>
      <c r="AR13" s="11">
        <v>100000</v>
      </c>
      <c r="AS13" s="12">
        <v>100000</v>
      </c>
      <c r="AT13" s="12"/>
      <c r="AU13" s="24">
        <f t="shared" si="10"/>
        <v>0</v>
      </c>
      <c r="AV13" s="11">
        <v>100000</v>
      </c>
      <c r="AW13" s="12">
        <v>100000</v>
      </c>
      <c r="AX13" s="12"/>
      <c r="AY13" s="22">
        <f>+IFERROR(AX13/AV13,"----")</f>
        <v>0</v>
      </c>
      <c r="AZ13" s="25">
        <f t="shared" si="12"/>
        <v>1200000</v>
      </c>
      <c r="BA13" s="26">
        <f>C13+G13+K13+O13+S13+W13+AC13+AG13+AK13+AO13+AS13+AW13</f>
        <v>1148775.5</v>
      </c>
      <c r="BB13" s="12">
        <f>D13+H13+L13+P13+T13+X13+AD13+AH13+AL13+AP13+AT13+AX13</f>
        <v>822899</v>
      </c>
      <c r="BC13" s="23">
        <f t="shared" ref="BC13:BC58" si="17">+IFERROR(BB13/AZ13,"----")</f>
        <v>0.68574916666666663</v>
      </c>
    </row>
    <row r="14" spans="1:55" ht="12.75" customHeight="1" thickBot="1" x14ac:dyDescent="0.35">
      <c r="A14" s="20" t="s">
        <v>27</v>
      </c>
      <c r="B14" s="11">
        <v>100000</v>
      </c>
      <c r="C14" s="11"/>
      <c r="D14" s="12"/>
      <c r="E14" s="22">
        <f t="shared" si="0"/>
        <v>0</v>
      </c>
      <c r="F14" s="11">
        <v>150000</v>
      </c>
      <c r="G14" s="12">
        <v>67002</v>
      </c>
      <c r="H14" s="12">
        <v>67002</v>
      </c>
      <c r="I14" s="22">
        <f t="shared" si="1"/>
        <v>0.44668000000000002</v>
      </c>
      <c r="J14" s="11">
        <v>150000</v>
      </c>
      <c r="K14" s="12">
        <v>136526</v>
      </c>
      <c r="L14" s="12">
        <v>136526</v>
      </c>
      <c r="M14" s="22">
        <f t="shared" si="2"/>
        <v>0.91017333333333328</v>
      </c>
      <c r="N14" s="11">
        <v>150000</v>
      </c>
      <c r="O14" s="11"/>
      <c r="P14" s="12"/>
      <c r="Q14" s="22">
        <f t="shared" ref="Q14:Q23" si="18">+IFERROR(P14/N14,"----")</f>
        <v>0</v>
      </c>
      <c r="R14" s="11">
        <v>150000</v>
      </c>
      <c r="S14" s="11">
        <v>150000</v>
      </c>
      <c r="T14" s="12">
        <v>72520.5</v>
      </c>
      <c r="U14" s="22">
        <f>+IFERROR(T14/R14,"----")</f>
        <v>0.48347000000000001</v>
      </c>
      <c r="V14" s="11">
        <v>150000</v>
      </c>
      <c r="W14" s="85"/>
      <c r="X14" s="86"/>
      <c r="Y14" s="23">
        <f>+IFERROR(X14/V14,"----")</f>
        <v>0</v>
      </c>
      <c r="Z14" s="16"/>
      <c r="AA14" s="20" t="s">
        <v>27</v>
      </c>
      <c r="AB14" s="11">
        <v>150000</v>
      </c>
      <c r="AC14" s="12">
        <v>68646.5</v>
      </c>
      <c r="AD14" s="12">
        <v>68646.5</v>
      </c>
      <c r="AE14" s="15">
        <f t="shared" si="6"/>
        <v>0.45764333333333335</v>
      </c>
      <c r="AF14" s="11">
        <v>150000</v>
      </c>
      <c r="AG14" s="12">
        <v>68308.5</v>
      </c>
      <c r="AH14" s="12">
        <v>68308.5</v>
      </c>
      <c r="AI14" s="22">
        <f t="shared" si="7"/>
        <v>0.45539000000000002</v>
      </c>
      <c r="AJ14" s="11">
        <v>150000</v>
      </c>
      <c r="AK14" s="12"/>
      <c r="AL14" s="12"/>
      <c r="AM14" s="22">
        <f t="shared" si="16"/>
        <v>0</v>
      </c>
      <c r="AN14" s="11">
        <v>150000</v>
      </c>
      <c r="AO14" s="12">
        <v>150000</v>
      </c>
      <c r="AP14" s="12"/>
      <c r="AQ14" s="24">
        <f t="shared" si="9"/>
        <v>0</v>
      </c>
      <c r="AR14" s="11">
        <v>150000</v>
      </c>
      <c r="AS14" s="12">
        <v>150000</v>
      </c>
      <c r="AT14" s="12"/>
      <c r="AU14" s="14">
        <f t="shared" si="10"/>
        <v>0</v>
      </c>
      <c r="AV14" s="11">
        <v>150000</v>
      </c>
      <c r="AW14" s="12">
        <v>150000</v>
      </c>
      <c r="AX14" s="12"/>
      <c r="AY14" s="22">
        <f>+IFERROR(AX14/AV14,"----")</f>
        <v>0</v>
      </c>
      <c r="AZ14" s="25">
        <f t="shared" si="12"/>
        <v>1750000</v>
      </c>
      <c r="BA14" s="26">
        <f t="shared" si="13"/>
        <v>940483</v>
      </c>
      <c r="BB14" s="12">
        <f t="shared" si="14"/>
        <v>413003.5</v>
      </c>
      <c r="BC14" s="23">
        <f t="shared" si="17"/>
        <v>0.23600199999999999</v>
      </c>
    </row>
    <row r="15" spans="1:55" ht="12.75" customHeight="1" thickBot="1" x14ac:dyDescent="0.35">
      <c r="A15" s="20" t="s">
        <v>28</v>
      </c>
      <c r="B15" s="11"/>
      <c r="C15" s="11"/>
      <c r="D15" s="12"/>
      <c r="E15" s="22" t="str">
        <f t="shared" si="0"/>
        <v>----</v>
      </c>
      <c r="F15" s="11"/>
      <c r="G15" s="12"/>
      <c r="H15" s="12"/>
      <c r="I15" s="22" t="str">
        <f t="shared" si="1"/>
        <v>----</v>
      </c>
      <c r="J15" s="11"/>
      <c r="K15" s="11"/>
      <c r="L15" s="12"/>
      <c r="M15" s="22" t="str">
        <f t="shared" si="2"/>
        <v>----</v>
      </c>
      <c r="N15" s="11"/>
      <c r="O15" s="11"/>
      <c r="P15" s="12"/>
      <c r="Q15" s="22" t="str">
        <f t="shared" si="18"/>
        <v>----</v>
      </c>
      <c r="R15" s="11"/>
      <c r="S15" s="11"/>
      <c r="T15" s="12"/>
      <c r="U15" s="22" t="str">
        <f>+IFERROR(T15/R15,"----")</f>
        <v>----</v>
      </c>
      <c r="V15" s="11"/>
      <c r="W15" s="84"/>
      <c r="X15" s="86"/>
      <c r="Y15" s="23" t="str">
        <f t="shared" ref="Y15:Y22" si="19">+IFERROR(X15/V15,"----")</f>
        <v>----</v>
      </c>
      <c r="Z15" s="16"/>
      <c r="AA15" s="20" t="s">
        <v>28</v>
      </c>
      <c r="AB15" s="11"/>
      <c r="AC15" s="12"/>
      <c r="AD15" s="12"/>
      <c r="AE15" s="15" t="str">
        <f t="shared" si="6"/>
        <v>----</v>
      </c>
      <c r="AF15" s="11"/>
      <c r="AG15" s="12"/>
      <c r="AH15" s="12"/>
      <c r="AI15" s="22" t="str">
        <f t="shared" si="7"/>
        <v>----</v>
      </c>
      <c r="AJ15" s="11"/>
      <c r="AK15" s="12"/>
      <c r="AL15" s="12"/>
      <c r="AM15" s="22" t="str">
        <f t="shared" si="16"/>
        <v>----</v>
      </c>
      <c r="AN15" s="11"/>
      <c r="AO15" s="12"/>
      <c r="AP15" s="12"/>
      <c r="AQ15" s="24" t="str">
        <f t="shared" si="9"/>
        <v>----</v>
      </c>
      <c r="AR15" s="11"/>
      <c r="AS15" s="12"/>
      <c r="AT15" s="12"/>
      <c r="AU15" s="22" t="str">
        <f t="shared" si="10"/>
        <v>----</v>
      </c>
      <c r="AV15" s="11"/>
      <c r="AW15" s="12"/>
      <c r="AX15" s="12"/>
      <c r="AY15" s="13" t="str">
        <f t="shared" ref="AY15:AY22" si="20">+IFERROR(AX15/AV15,"----")</f>
        <v>----</v>
      </c>
      <c r="AZ15" s="25">
        <f t="shared" si="12"/>
        <v>0</v>
      </c>
      <c r="BA15" s="26">
        <f t="shared" si="13"/>
        <v>0</v>
      </c>
      <c r="BB15" s="12">
        <f t="shared" si="14"/>
        <v>0</v>
      </c>
      <c r="BC15" s="23" t="str">
        <f t="shared" si="17"/>
        <v>----</v>
      </c>
    </row>
    <row r="16" spans="1:55" ht="12.75" customHeight="1" thickBot="1" x14ac:dyDescent="0.35">
      <c r="A16" s="20" t="s">
        <v>29</v>
      </c>
      <c r="B16" s="11"/>
      <c r="C16" s="11"/>
      <c r="D16" s="12"/>
      <c r="E16" s="24" t="str">
        <f t="shared" si="0"/>
        <v>----</v>
      </c>
      <c r="F16" s="11"/>
      <c r="G16" s="12"/>
      <c r="H16" s="12"/>
      <c r="I16" s="24" t="str">
        <f t="shared" si="1"/>
        <v>----</v>
      </c>
      <c r="J16" s="11"/>
      <c r="K16" s="11"/>
      <c r="L16" s="12"/>
      <c r="M16" s="22" t="str">
        <f t="shared" si="2"/>
        <v>----</v>
      </c>
      <c r="N16" s="11"/>
      <c r="O16" s="11"/>
      <c r="P16" s="12"/>
      <c r="Q16" s="22" t="str">
        <f t="shared" si="18"/>
        <v>----</v>
      </c>
      <c r="R16" s="11"/>
      <c r="S16" s="11"/>
      <c r="T16" s="12"/>
      <c r="U16" s="22" t="str">
        <f t="shared" ref="U16:U22" si="21">+IFERROR(T16/R16,"----")</f>
        <v>----</v>
      </c>
      <c r="V16" s="11"/>
      <c r="W16" s="84"/>
      <c r="X16" s="86"/>
      <c r="Y16" s="23" t="str">
        <f t="shared" si="19"/>
        <v>----</v>
      </c>
      <c r="Z16" s="16"/>
      <c r="AA16" s="20" t="s">
        <v>29</v>
      </c>
      <c r="AB16" s="11"/>
      <c r="AC16" s="12"/>
      <c r="AD16" s="12"/>
      <c r="AE16" s="15" t="str">
        <f t="shared" si="6"/>
        <v>----</v>
      </c>
      <c r="AF16" s="11"/>
      <c r="AG16" s="12"/>
      <c r="AH16" s="12"/>
      <c r="AI16" s="22" t="str">
        <f t="shared" si="7"/>
        <v>----</v>
      </c>
      <c r="AJ16" s="11"/>
      <c r="AK16" s="12"/>
      <c r="AL16" s="12"/>
      <c r="AM16" s="22" t="str">
        <f t="shared" si="16"/>
        <v>----</v>
      </c>
      <c r="AN16" s="11"/>
      <c r="AO16" s="12"/>
      <c r="AP16" s="12"/>
      <c r="AQ16" s="24" t="str">
        <f t="shared" si="9"/>
        <v>----</v>
      </c>
      <c r="AR16" s="11"/>
      <c r="AS16" s="12"/>
      <c r="AT16" s="12"/>
      <c r="AU16" s="14" t="str">
        <f t="shared" si="10"/>
        <v>----</v>
      </c>
      <c r="AV16" s="11"/>
      <c r="AW16" s="12"/>
      <c r="AX16" s="12"/>
      <c r="AY16" s="22" t="str">
        <f t="shared" si="20"/>
        <v>----</v>
      </c>
      <c r="AZ16" s="25">
        <f t="shared" si="12"/>
        <v>0</v>
      </c>
      <c r="BA16" s="26">
        <f t="shared" si="13"/>
        <v>0</v>
      </c>
      <c r="BB16" s="12">
        <f t="shared" si="14"/>
        <v>0</v>
      </c>
      <c r="BC16" s="23" t="str">
        <f t="shared" si="17"/>
        <v>----</v>
      </c>
    </row>
    <row r="17" spans="1:55" ht="12.75" customHeight="1" thickBot="1" x14ac:dyDescent="0.35">
      <c r="A17" s="20" t="s">
        <v>30</v>
      </c>
      <c r="B17" s="11">
        <v>70000</v>
      </c>
      <c r="C17" s="11">
        <v>70000</v>
      </c>
      <c r="D17" s="12">
        <v>63210.9</v>
      </c>
      <c r="E17" s="24">
        <f t="shared" si="0"/>
        <v>0.90301285714285717</v>
      </c>
      <c r="F17" s="11">
        <v>70000</v>
      </c>
      <c r="G17" s="12">
        <v>67957.899999999994</v>
      </c>
      <c r="H17" s="12">
        <v>67957.899999999994</v>
      </c>
      <c r="I17" s="24">
        <f t="shared" si="1"/>
        <v>0.97082714285714278</v>
      </c>
      <c r="J17" s="11">
        <v>50000</v>
      </c>
      <c r="K17" s="12">
        <v>67541.8</v>
      </c>
      <c r="L17" s="12">
        <v>67541.8</v>
      </c>
      <c r="M17" s="22">
        <f t="shared" si="2"/>
        <v>1.3508360000000001</v>
      </c>
      <c r="N17" s="11">
        <v>50000</v>
      </c>
      <c r="O17" s="12">
        <v>84067.3</v>
      </c>
      <c r="P17" s="12">
        <v>84067.3</v>
      </c>
      <c r="Q17" s="22">
        <f t="shared" si="18"/>
        <v>1.681346</v>
      </c>
      <c r="R17" s="11">
        <v>70000</v>
      </c>
      <c r="S17" s="12">
        <v>60000</v>
      </c>
      <c r="T17" s="12">
        <v>59639.600000000006</v>
      </c>
      <c r="U17" s="22">
        <f t="shared" si="21"/>
        <v>0.85199428571428582</v>
      </c>
      <c r="V17" s="11">
        <v>70000</v>
      </c>
      <c r="W17" s="86">
        <v>126415</v>
      </c>
      <c r="X17" s="86">
        <v>126415</v>
      </c>
      <c r="Y17" s="23">
        <f t="shared" si="19"/>
        <v>1.8059285714285713</v>
      </c>
      <c r="Z17" s="16"/>
      <c r="AA17" s="20" t="s">
        <v>30</v>
      </c>
      <c r="AB17" s="11">
        <v>70000</v>
      </c>
      <c r="AC17" s="12">
        <v>75000</v>
      </c>
      <c r="AD17" s="12">
        <v>75695</v>
      </c>
      <c r="AE17" s="15">
        <f t="shared" si="6"/>
        <v>1.0813571428571429</v>
      </c>
      <c r="AF17" s="11">
        <v>70000</v>
      </c>
      <c r="AG17" s="12">
        <v>108000</v>
      </c>
      <c r="AH17" s="12">
        <v>108000</v>
      </c>
      <c r="AI17" s="22">
        <f t="shared" si="7"/>
        <v>1.5428571428571429</v>
      </c>
      <c r="AJ17" s="11">
        <v>70000</v>
      </c>
      <c r="AK17" s="12">
        <v>108000</v>
      </c>
      <c r="AL17" s="12">
        <v>108000</v>
      </c>
      <c r="AM17" s="22">
        <f t="shared" si="16"/>
        <v>1.5428571428571429</v>
      </c>
      <c r="AN17" s="11">
        <v>70000</v>
      </c>
      <c r="AO17" s="12">
        <v>70000</v>
      </c>
      <c r="AP17" s="12"/>
      <c r="AQ17" s="24">
        <f t="shared" si="9"/>
        <v>0</v>
      </c>
      <c r="AR17" s="11">
        <v>70000</v>
      </c>
      <c r="AS17" s="12">
        <v>70000</v>
      </c>
      <c r="AT17" s="12"/>
      <c r="AU17" s="14">
        <f t="shared" si="10"/>
        <v>0</v>
      </c>
      <c r="AV17" s="11">
        <v>70000</v>
      </c>
      <c r="AW17" s="12">
        <v>70000</v>
      </c>
      <c r="AX17" s="12"/>
      <c r="AY17" s="22">
        <f t="shared" si="20"/>
        <v>0</v>
      </c>
      <c r="AZ17" s="25">
        <f t="shared" si="12"/>
        <v>800000</v>
      </c>
      <c r="BA17" s="26">
        <f t="shared" si="13"/>
        <v>976982</v>
      </c>
      <c r="BB17" s="12">
        <f t="shared" si="14"/>
        <v>760527.5</v>
      </c>
      <c r="BC17" s="23">
        <f t="shared" si="17"/>
        <v>0.95065937499999997</v>
      </c>
    </row>
    <row r="18" spans="1:55" ht="12.75" customHeight="1" thickBot="1" x14ac:dyDescent="0.35">
      <c r="A18" s="20" t="s">
        <v>31</v>
      </c>
      <c r="B18" s="11"/>
      <c r="C18" s="11"/>
      <c r="D18" s="12"/>
      <c r="E18" s="24" t="str">
        <f t="shared" si="0"/>
        <v>----</v>
      </c>
      <c r="F18" s="11"/>
      <c r="G18" s="12"/>
      <c r="H18" s="12"/>
      <c r="I18" s="24" t="str">
        <f t="shared" si="1"/>
        <v>----</v>
      </c>
      <c r="J18" s="11"/>
      <c r="K18" s="12"/>
      <c r="L18" s="12"/>
      <c r="M18" s="22" t="str">
        <f t="shared" si="2"/>
        <v>----</v>
      </c>
      <c r="N18" s="11"/>
      <c r="O18" s="11"/>
      <c r="P18" s="12"/>
      <c r="Q18" s="22" t="str">
        <f t="shared" si="18"/>
        <v>----</v>
      </c>
      <c r="R18" s="11"/>
      <c r="S18" s="11"/>
      <c r="T18" s="12"/>
      <c r="U18" s="22" t="str">
        <f t="shared" si="21"/>
        <v>----</v>
      </c>
      <c r="V18" s="11"/>
      <c r="W18" s="84"/>
      <c r="X18" s="86"/>
      <c r="Y18" s="23" t="str">
        <f t="shared" si="19"/>
        <v>----</v>
      </c>
      <c r="Z18" s="16"/>
      <c r="AA18" s="20" t="s">
        <v>31</v>
      </c>
      <c r="AB18" s="11"/>
      <c r="AC18" s="12"/>
      <c r="AD18" s="12"/>
      <c r="AE18" s="15" t="str">
        <f t="shared" si="6"/>
        <v>----</v>
      </c>
      <c r="AF18" s="11"/>
      <c r="AG18" s="12"/>
      <c r="AH18" s="12"/>
      <c r="AI18" s="22"/>
      <c r="AJ18" s="11"/>
      <c r="AK18" s="12"/>
      <c r="AL18" s="12"/>
      <c r="AM18" s="22" t="str">
        <f t="shared" si="16"/>
        <v>----</v>
      </c>
      <c r="AN18" s="11"/>
      <c r="AO18" s="12"/>
      <c r="AP18" s="12"/>
      <c r="AQ18" s="24" t="str">
        <f t="shared" si="9"/>
        <v>----</v>
      </c>
      <c r="AR18" s="11"/>
      <c r="AS18" s="12"/>
      <c r="AT18" s="12"/>
      <c r="AU18" s="24" t="str">
        <f t="shared" si="10"/>
        <v>----</v>
      </c>
      <c r="AV18" s="11"/>
      <c r="AW18" s="12"/>
      <c r="AX18" s="12"/>
      <c r="AY18" s="13" t="str">
        <f t="shared" si="20"/>
        <v>----</v>
      </c>
      <c r="AZ18" s="25">
        <f t="shared" si="12"/>
        <v>0</v>
      </c>
      <c r="BA18" s="26">
        <f t="shared" si="13"/>
        <v>0</v>
      </c>
      <c r="BB18" s="12">
        <f t="shared" si="14"/>
        <v>0</v>
      </c>
      <c r="BC18" s="23" t="str">
        <f t="shared" ref="BC18:BC19" si="22">+IFERROR(BB18/AZ18,"----")</f>
        <v>----</v>
      </c>
    </row>
    <row r="19" spans="1:55" ht="12.75" customHeight="1" thickBot="1" x14ac:dyDescent="0.35">
      <c r="A19" s="20" t="s">
        <v>90</v>
      </c>
      <c r="B19" s="11">
        <v>500000</v>
      </c>
      <c r="C19" s="12">
        <v>50400</v>
      </c>
      <c r="D19" s="12">
        <v>50400</v>
      </c>
      <c r="E19" s="24">
        <f t="shared" si="0"/>
        <v>0.1008</v>
      </c>
      <c r="F19" s="11">
        <v>500000</v>
      </c>
      <c r="G19" s="12">
        <v>67200</v>
      </c>
      <c r="H19" s="12">
        <v>67200</v>
      </c>
      <c r="I19" s="24">
        <f t="shared" si="1"/>
        <v>0.13439999999999999</v>
      </c>
      <c r="J19" s="11">
        <v>500000</v>
      </c>
      <c r="K19" s="12">
        <v>57000</v>
      </c>
      <c r="L19" s="12">
        <v>57000</v>
      </c>
      <c r="M19" s="22">
        <f t="shared" si="2"/>
        <v>0.114</v>
      </c>
      <c r="N19" s="11">
        <v>500000</v>
      </c>
      <c r="O19" s="12">
        <v>691080</v>
      </c>
      <c r="P19" s="12">
        <v>691080</v>
      </c>
      <c r="Q19" s="22">
        <f t="shared" si="18"/>
        <v>1.3821600000000001</v>
      </c>
      <c r="R19" s="11">
        <v>500000</v>
      </c>
      <c r="S19" s="11">
        <v>57000</v>
      </c>
      <c r="T19" s="12">
        <v>57000</v>
      </c>
      <c r="U19" s="22">
        <f t="shared" si="21"/>
        <v>0.114</v>
      </c>
      <c r="V19" s="11">
        <v>500000</v>
      </c>
      <c r="W19" s="86">
        <v>117900</v>
      </c>
      <c r="X19" s="86">
        <v>117900</v>
      </c>
      <c r="Y19" s="23">
        <f t="shared" si="19"/>
        <v>0.23580000000000001</v>
      </c>
      <c r="Z19" s="16"/>
      <c r="AA19" s="20" t="s">
        <v>90</v>
      </c>
      <c r="AB19" s="11">
        <v>500000</v>
      </c>
      <c r="AC19" s="12">
        <v>84000</v>
      </c>
      <c r="AD19" s="12">
        <v>84000</v>
      </c>
      <c r="AE19" s="15">
        <f t="shared" si="6"/>
        <v>0.16800000000000001</v>
      </c>
      <c r="AF19" s="11">
        <v>500000</v>
      </c>
      <c r="AG19" s="12">
        <v>90000</v>
      </c>
      <c r="AH19" s="12">
        <v>90000</v>
      </c>
      <c r="AI19" s="22">
        <f t="shared" ref="AI19:AI58" si="23">+IFERROR(AH19/AF19,"----")</f>
        <v>0.18</v>
      </c>
      <c r="AJ19" s="11">
        <v>500000</v>
      </c>
      <c r="AK19" s="12">
        <v>50000</v>
      </c>
      <c r="AL19" s="12"/>
      <c r="AM19" s="22">
        <f t="shared" si="16"/>
        <v>0</v>
      </c>
      <c r="AN19" s="11">
        <v>500000</v>
      </c>
      <c r="AO19" s="12">
        <v>200000</v>
      </c>
      <c r="AP19" s="12"/>
      <c r="AQ19" s="24">
        <f t="shared" si="9"/>
        <v>0</v>
      </c>
      <c r="AR19" s="11">
        <v>500000</v>
      </c>
      <c r="AS19" s="12">
        <v>200000</v>
      </c>
      <c r="AT19" s="12"/>
      <c r="AU19" s="14">
        <f t="shared" si="10"/>
        <v>0</v>
      </c>
      <c r="AV19" s="11">
        <v>500000</v>
      </c>
      <c r="AW19" s="12">
        <v>200000</v>
      </c>
      <c r="AX19" s="12"/>
      <c r="AY19" s="22">
        <f t="shared" si="20"/>
        <v>0</v>
      </c>
      <c r="AZ19" s="25">
        <f t="shared" si="12"/>
        <v>6000000</v>
      </c>
      <c r="BA19" s="26">
        <f t="shared" si="13"/>
        <v>1864580</v>
      </c>
      <c r="BB19" s="12">
        <f t="shared" si="14"/>
        <v>1214580</v>
      </c>
      <c r="BC19" s="23">
        <f t="shared" si="22"/>
        <v>0.20243</v>
      </c>
    </row>
    <row r="20" spans="1:55" ht="12.75" customHeight="1" thickBot="1" x14ac:dyDescent="0.35">
      <c r="A20" s="20" t="s">
        <v>91</v>
      </c>
      <c r="B20" s="11">
        <v>300000</v>
      </c>
      <c r="C20" s="11">
        <v>200000</v>
      </c>
      <c r="D20" s="12">
        <v>168918.75</v>
      </c>
      <c r="E20" s="24">
        <f t="shared" si="0"/>
        <v>0.56306250000000002</v>
      </c>
      <c r="F20" s="11">
        <v>300000</v>
      </c>
      <c r="G20" s="12">
        <v>459112.5</v>
      </c>
      <c r="H20" s="12">
        <v>459112.5</v>
      </c>
      <c r="I20" s="24">
        <f t="shared" si="1"/>
        <v>1.530375</v>
      </c>
      <c r="J20" s="11">
        <v>300000</v>
      </c>
      <c r="K20" s="12">
        <v>402672.45</v>
      </c>
      <c r="L20" s="12">
        <v>402672.45</v>
      </c>
      <c r="M20" s="22">
        <f t="shared" si="2"/>
        <v>1.3422415000000001</v>
      </c>
      <c r="N20" s="11">
        <v>300000</v>
      </c>
      <c r="O20" s="12">
        <v>564569.9</v>
      </c>
      <c r="P20" s="12">
        <v>564569.9</v>
      </c>
      <c r="Q20" s="22">
        <f t="shared" si="18"/>
        <v>1.8818996666666667</v>
      </c>
      <c r="R20" s="11">
        <v>300000</v>
      </c>
      <c r="S20" s="12">
        <v>280350</v>
      </c>
      <c r="T20" s="12">
        <v>280350</v>
      </c>
      <c r="U20" s="22">
        <f t="shared" si="21"/>
        <v>0.9345</v>
      </c>
      <c r="V20" s="11">
        <v>300000</v>
      </c>
      <c r="W20" s="86">
        <v>341040</v>
      </c>
      <c r="X20" s="86">
        <v>341040</v>
      </c>
      <c r="Y20" s="23">
        <f t="shared" si="19"/>
        <v>1.1368</v>
      </c>
      <c r="Z20" s="16"/>
      <c r="AA20" s="20" t="s">
        <v>91</v>
      </c>
      <c r="AB20" s="11">
        <v>300000</v>
      </c>
      <c r="AC20" s="12">
        <v>509815.2</v>
      </c>
      <c r="AD20" s="12">
        <v>509815.2</v>
      </c>
      <c r="AE20" s="15"/>
      <c r="AF20" s="11">
        <v>300000</v>
      </c>
      <c r="AG20" s="12">
        <v>430000</v>
      </c>
      <c r="AH20" s="12">
        <v>443746.8</v>
      </c>
      <c r="AI20" s="22">
        <f t="shared" si="23"/>
        <v>1.4791559999999999</v>
      </c>
      <c r="AJ20" s="11">
        <v>300000</v>
      </c>
      <c r="AK20" s="12">
        <v>300000</v>
      </c>
      <c r="AL20" s="12">
        <v>202920</v>
      </c>
      <c r="AM20" s="22">
        <f t="shared" si="16"/>
        <v>0.6764</v>
      </c>
      <c r="AN20" s="11">
        <v>300000</v>
      </c>
      <c r="AO20" s="12">
        <v>300000</v>
      </c>
      <c r="AP20" s="12"/>
      <c r="AQ20" s="24">
        <f t="shared" si="9"/>
        <v>0</v>
      </c>
      <c r="AR20" s="11">
        <v>300000</v>
      </c>
      <c r="AS20" s="12">
        <v>300000</v>
      </c>
      <c r="AT20" s="12"/>
      <c r="AU20" s="22">
        <f t="shared" si="10"/>
        <v>0</v>
      </c>
      <c r="AV20" s="11">
        <v>300000</v>
      </c>
      <c r="AW20" s="12">
        <v>300000</v>
      </c>
      <c r="AX20" s="12"/>
      <c r="AY20" s="22">
        <f t="shared" si="20"/>
        <v>0</v>
      </c>
      <c r="AZ20" s="25">
        <f t="shared" si="12"/>
        <v>3600000</v>
      </c>
      <c r="BA20" s="26">
        <f t="shared" si="13"/>
        <v>4387560.0500000007</v>
      </c>
      <c r="BB20" s="12">
        <f t="shared" si="14"/>
        <v>3373145.6</v>
      </c>
      <c r="BC20" s="23">
        <f t="shared" si="17"/>
        <v>0.93698488888888887</v>
      </c>
    </row>
    <row r="21" spans="1:55" ht="17.399999999999999" customHeight="1" thickBot="1" x14ac:dyDescent="0.35">
      <c r="A21" s="28" t="s">
        <v>94</v>
      </c>
      <c r="B21" s="11">
        <v>200000</v>
      </c>
      <c r="C21" s="12">
        <v>223195</v>
      </c>
      <c r="D21" s="12">
        <v>223195</v>
      </c>
      <c r="E21" s="24">
        <f t="shared" ref="E21" si="24">+IFERROR(D21/B21,"----")</f>
        <v>1.1159749999999999</v>
      </c>
      <c r="F21" s="11">
        <v>200000</v>
      </c>
      <c r="G21" s="12">
        <v>189210</v>
      </c>
      <c r="H21" s="12">
        <v>189210</v>
      </c>
      <c r="I21" s="24">
        <f t="shared" ref="I21" si="25">+IFERROR(H21/F21,"----")</f>
        <v>0.94604999999999995</v>
      </c>
      <c r="J21" s="11">
        <v>200000</v>
      </c>
      <c r="K21" s="12">
        <v>264838</v>
      </c>
      <c r="L21" s="12">
        <v>264838</v>
      </c>
      <c r="M21" s="22">
        <f t="shared" si="2"/>
        <v>1.32419</v>
      </c>
      <c r="N21" s="11">
        <v>200000</v>
      </c>
      <c r="O21" s="12">
        <v>182273</v>
      </c>
      <c r="P21" s="12">
        <v>182273</v>
      </c>
      <c r="Q21" s="22">
        <f t="shared" si="18"/>
        <v>0.91136499999999998</v>
      </c>
      <c r="R21" s="11">
        <v>200000</v>
      </c>
      <c r="S21" s="12">
        <v>267659</v>
      </c>
      <c r="T21" s="12">
        <v>267659</v>
      </c>
      <c r="U21" s="22">
        <f t="shared" si="21"/>
        <v>1.338295</v>
      </c>
      <c r="V21" s="11">
        <v>200000</v>
      </c>
      <c r="W21" s="86">
        <v>156996.40000000002</v>
      </c>
      <c r="X21" s="86">
        <v>156996.40000000002</v>
      </c>
      <c r="Y21" s="23">
        <f t="shared" si="19"/>
        <v>0.78498200000000007</v>
      </c>
      <c r="Z21" s="16"/>
      <c r="AA21" s="28" t="s">
        <v>89</v>
      </c>
      <c r="AB21" s="11">
        <v>200000</v>
      </c>
      <c r="AC21" s="12">
        <v>216591</v>
      </c>
      <c r="AD21" s="12">
        <v>216591</v>
      </c>
      <c r="AE21" s="15">
        <f t="shared" ref="AE21" si="26">+IFERROR(AD21/AB21,"----")</f>
        <v>1.0829549999999999</v>
      </c>
      <c r="AF21" s="11">
        <v>200000</v>
      </c>
      <c r="AG21" s="12">
        <v>268939.3</v>
      </c>
      <c r="AH21" s="12">
        <v>268939.3</v>
      </c>
      <c r="AI21" s="22">
        <f t="shared" ref="AI21" si="27">+IFERROR(AH21/AF21,"----")</f>
        <v>1.3446965</v>
      </c>
      <c r="AJ21" s="11">
        <v>200000</v>
      </c>
      <c r="AK21" s="12">
        <v>280000</v>
      </c>
      <c r="AL21" s="12">
        <v>167637.19999999998</v>
      </c>
      <c r="AM21" s="22">
        <f t="shared" ref="AM21" si="28">+IFERROR(AL21/AJ21,"----")</f>
        <v>0.83818599999999988</v>
      </c>
      <c r="AN21" s="11">
        <v>200000</v>
      </c>
      <c r="AO21" s="12">
        <v>250000</v>
      </c>
      <c r="AP21" s="12"/>
      <c r="AQ21" s="24">
        <f t="shared" ref="AQ21" si="29">+IFERROR(AP21/AN21,"----")</f>
        <v>0</v>
      </c>
      <c r="AR21" s="11">
        <v>200000</v>
      </c>
      <c r="AS21" s="12">
        <v>250000</v>
      </c>
      <c r="AT21" s="12"/>
      <c r="AU21" s="14">
        <f t="shared" ref="AU21" si="30">+IFERROR(AT21/AR21,"----")</f>
        <v>0</v>
      </c>
      <c r="AV21" s="11">
        <v>200000</v>
      </c>
      <c r="AW21" s="12">
        <v>250000</v>
      </c>
      <c r="AX21" s="12"/>
      <c r="AY21" s="13">
        <f t="shared" ref="AY21" si="31">+IFERROR(AX21/AV21,"----")</f>
        <v>0</v>
      </c>
      <c r="AZ21" s="25">
        <f t="shared" ref="AZ21" si="32">B21+F21+J21+N21+R21+V21+AB21+AF21+AJ21+AN21+AR21+AV21</f>
        <v>2400000</v>
      </c>
      <c r="BA21" s="26">
        <f t="shared" ref="BA21" si="33">C21+G21+K21+O21+S21+W21+AC21+AG21+AK21+AO21+AS21+AW21</f>
        <v>2799701.7</v>
      </c>
      <c r="BB21" s="12">
        <f t="shared" ref="BB21" si="34">D21+H21+L21+P21+T21+X21+AD21+AH21+AL21+AP21+AT21+AX21</f>
        <v>1937338.9</v>
      </c>
      <c r="BC21" s="23">
        <f t="shared" ref="BC21" si="35">+IFERROR(BB21/AZ21,"----")</f>
        <v>0.80722454166666657</v>
      </c>
    </row>
    <row r="22" spans="1:55" ht="66.599999999999994" customHeight="1" thickBot="1" x14ac:dyDescent="0.35">
      <c r="A22" s="28" t="s">
        <v>113</v>
      </c>
      <c r="B22" s="11">
        <v>200000</v>
      </c>
      <c r="C22" s="12">
        <v>49140</v>
      </c>
      <c r="D22" s="12">
        <v>49140</v>
      </c>
      <c r="E22" s="24">
        <f t="shared" si="0"/>
        <v>0.2457</v>
      </c>
      <c r="F22" s="11">
        <v>150000</v>
      </c>
      <c r="G22" s="12">
        <v>28800</v>
      </c>
      <c r="H22" s="12">
        <v>28800</v>
      </c>
      <c r="I22" s="24">
        <f t="shared" si="1"/>
        <v>0.192</v>
      </c>
      <c r="J22" s="11">
        <v>100000</v>
      </c>
      <c r="K22" s="12">
        <v>28800</v>
      </c>
      <c r="L22" s="12">
        <v>28800</v>
      </c>
      <c r="M22" s="22">
        <f t="shared" si="2"/>
        <v>0.28799999999999998</v>
      </c>
      <c r="N22" s="11">
        <v>100000</v>
      </c>
      <c r="O22" s="12">
        <v>44523</v>
      </c>
      <c r="P22" s="12">
        <v>44523</v>
      </c>
      <c r="Q22" s="22">
        <f t="shared" si="18"/>
        <v>0.44523000000000001</v>
      </c>
      <c r="R22" s="11">
        <v>100000</v>
      </c>
      <c r="S22" s="12"/>
      <c r="T22" s="12"/>
      <c r="U22" s="22">
        <f t="shared" si="21"/>
        <v>0</v>
      </c>
      <c r="V22" s="11">
        <v>100000</v>
      </c>
      <c r="W22" s="86">
        <v>56817.599999999999</v>
      </c>
      <c r="X22" s="86">
        <v>56817.599999999999</v>
      </c>
      <c r="Y22" s="23">
        <f t="shared" si="19"/>
        <v>0.56817600000000001</v>
      </c>
      <c r="Z22" s="16"/>
      <c r="AA22" s="28" t="s">
        <v>89</v>
      </c>
      <c r="AB22" s="11">
        <v>100000</v>
      </c>
      <c r="AC22" s="12">
        <f>375250+486000+16358.4</f>
        <v>877608.4</v>
      </c>
      <c r="AD22" s="12">
        <f>375250+486000+16358.4</f>
        <v>877608.4</v>
      </c>
      <c r="AE22" s="15">
        <f t="shared" ref="AE22:AE58" si="36">+IFERROR(AD22/AB22,"----")</f>
        <v>8.7760840000000009</v>
      </c>
      <c r="AF22" s="11">
        <v>100000</v>
      </c>
      <c r="AG22" s="12">
        <v>1172624</v>
      </c>
      <c r="AH22" s="12">
        <v>1172624</v>
      </c>
      <c r="AI22" s="22">
        <f t="shared" si="23"/>
        <v>11.726240000000001</v>
      </c>
      <c r="AJ22" s="11">
        <v>100000</v>
      </c>
      <c r="AK22" s="12">
        <v>1200000</v>
      </c>
      <c r="AL22" s="12">
        <v>934548.89999999991</v>
      </c>
      <c r="AM22" s="22">
        <f t="shared" si="16"/>
        <v>9.3454889999999988</v>
      </c>
      <c r="AN22" s="11">
        <v>100000</v>
      </c>
      <c r="AO22" s="12">
        <v>500000</v>
      </c>
      <c r="AP22" s="12"/>
      <c r="AQ22" s="24">
        <f t="shared" si="9"/>
        <v>0</v>
      </c>
      <c r="AR22" s="11">
        <v>100000</v>
      </c>
      <c r="AS22" s="12">
        <v>500000</v>
      </c>
      <c r="AT22" s="12"/>
      <c r="AU22" s="14">
        <f t="shared" si="10"/>
        <v>0</v>
      </c>
      <c r="AV22" s="11">
        <v>100000</v>
      </c>
      <c r="AW22" s="12">
        <v>500000</v>
      </c>
      <c r="AX22" s="12"/>
      <c r="AY22" s="13">
        <f t="shared" si="20"/>
        <v>0</v>
      </c>
      <c r="AZ22" s="25">
        <f t="shared" si="12"/>
        <v>1350000</v>
      </c>
      <c r="BA22" s="26">
        <f t="shared" si="13"/>
        <v>4958313</v>
      </c>
      <c r="BB22" s="12">
        <f t="shared" si="14"/>
        <v>3192861.9</v>
      </c>
      <c r="BC22" s="23">
        <f t="shared" si="17"/>
        <v>2.3650828888888888</v>
      </c>
    </row>
    <row r="23" spans="1:55" ht="12.75" customHeight="1" thickBot="1" x14ac:dyDescent="0.35">
      <c r="A23" s="29" t="s">
        <v>33</v>
      </c>
      <c r="B23" s="11"/>
      <c r="C23" s="11"/>
      <c r="D23" s="12"/>
      <c r="E23" s="24" t="str">
        <f t="shared" si="0"/>
        <v>----</v>
      </c>
      <c r="F23" s="11"/>
      <c r="G23" s="12"/>
      <c r="H23" s="12"/>
      <c r="I23" s="24" t="str">
        <f t="shared" si="1"/>
        <v>----</v>
      </c>
      <c r="J23" s="11"/>
      <c r="K23" s="12"/>
      <c r="L23" s="12"/>
      <c r="M23" s="22" t="str">
        <f t="shared" si="2"/>
        <v>----</v>
      </c>
      <c r="N23" s="11"/>
      <c r="O23" s="11"/>
      <c r="P23" s="12"/>
      <c r="Q23" s="22" t="str">
        <f t="shared" si="18"/>
        <v>----</v>
      </c>
      <c r="R23" s="11"/>
      <c r="S23" s="11"/>
      <c r="T23" s="12"/>
      <c r="U23" s="22" t="str">
        <f t="shared" ref="U23:U56" si="37">+IFERROR(T23/R23,"----")</f>
        <v>----</v>
      </c>
      <c r="V23" s="11"/>
      <c r="W23" s="84"/>
      <c r="X23" s="86"/>
      <c r="Y23" s="23" t="str">
        <f t="shared" ref="Y23:Y28" si="38">+IFERROR(X23/V23,"----")</f>
        <v>----</v>
      </c>
      <c r="Z23" s="16"/>
      <c r="AA23" s="29" t="s">
        <v>33</v>
      </c>
      <c r="AB23" s="11"/>
      <c r="AC23" s="12"/>
      <c r="AD23" s="12"/>
      <c r="AE23" s="15" t="str">
        <f t="shared" si="36"/>
        <v>----</v>
      </c>
      <c r="AF23" s="11"/>
      <c r="AG23" s="12"/>
      <c r="AH23" s="12"/>
      <c r="AI23" s="22" t="str">
        <f t="shared" si="23"/>
        <v>----</v>
      </c>
      <c r="AJ23" s="11"/>
      <c r="AK23" s="12"/>
      <c r="AL23" s="12"/>
      <c r="AM23" s="22" t="str">
        <f t="shared" si="16"/>
        <v>----</v>
      </c>
      <c r="AN23" s="11"/>
      <c r="AO23" s="12"/>
      <c r="AP23" s="12"/>
      <c r="AQ23" s="24" t="str">
        <f t="shared" si="9"/>
        <v>----</v>
      </c>
      <c r="AR23" s="11"/>
      <c r="AS23" s="12"/>
      <c r="AT23" s="12"/>
      <c r="AU23" s="24" t="str">
        <f t="shared" si="10"/>
        <v>----</v>
      </c>
      <c r="AV23" s="11"/>
      <c r="AW23" s="12"/>
      <c r="AX23" s="12"/>
      <c r="AY23" s="22" t="str">
        <f t="shared" ref="AY23:AY56" si="39">+IFERROR(AX23/AV23,"----")</f>
        <v>----</v>
      </c>
      <c r="AZ23" s="25">
        <f t="shared" si="12"/>
        <v>0</v>
      </c>
      <c r="BA23" s="26">
        <f t="shared" si="13"/>
        <v>0</v>
      </c>
      <c r="BB23" s="12">
        <f t="shared" si="14"/>
        <v>0</v>
      </c>
      <c r="BC23" s="23" t="str">
        <f t="shared" si="17"/>
        <v>----</v>
      </c>
    </row>
    <row r="24" spans="1:55" ht="12.75" customHeight="1" thickBot="1" x14ac:dyDescent="0.35">
      <c r="A24" s="30" t="s">
        <v>34</v>
      </c>
      <c r="B24" s="11">
        <v>500000</v>
      </c>
      <c r="C24" s="11">
        <v>600000</v>
      </c>
      <c r="D24" s="12">
        <v>649812</v>
      </c>
      <c r="E24" s="22">
        <f t="shared" si="0"/>
        <v>1.2996239999999999</v>
      </c>
      <c r="F24" s="11">
        <v>500000</v>
      </c>
      <c r="G24" s="12">
        <v>492032</v>
      </c>
      <c r="H24" s="12">
        <v>492032</v>
      </c>
      <c r="I24" s="22">
        <f t="shared" si="1"/>
        <v>0.98406400000000005</v>
      </c>
      <c r="J24" s="11">
        <v>400000</v>
      </c>
      <c r="K24" s="12">
        <v>913455</v>
      </c>
      <c r="L24" s="12">
        <v>913455</v>
      </c>
      <c r="M24" s="24">
        <f t="shared" ref="M24:M57" si="40">+IFERROR(L24/J24,"----")</f>
        <v>2.2836375000000002</v>
      </c>
      <c r="N24" s="11">
        <v>400000</v>
      </c>
      <c r="O24" s="12">
        <v>1028007</v>
      </c>
      <c r="P24" s="12">
        <v>1028007</v>
      </c>
      <c r="Q24" s="22">
        <f t="shared" ref="Q24:Q55" si="41">+IFERROR(P24/N24,"----")</f>
        <v>2.5700175000000001</v>
      </c>
      <c r="R24" s="11">
        <v>500000</v>
      </c>
      <c r="S24" s="11">
        <v>459340</v>
      </c>
      <c r="T24" s="12">
        <v>459340</v>
      </c>
      <c r="U24" s="22">
        <f t="shared" si="37"/>
        <v>0.91868000000000005</v>
      </c>
      <c r="V24" s="11">
        <v>500000</v>
      </c>
      <c r="W24" s="86">
        <v>372542</v>
      </c>
      <c r="X24" s="86">
        <v>372542</v>
      </c>
      <c r="Y24" s="23">
        <f t="shared" si="38"/>
        <v>0.74508399999999997</v>
      </c>
      <c r="Z24" s="16"/>
      <c r="AA24" s="30" t="s">
        <v>34</v>
      </c>
      <c r="AB24" s="11">
        <v>500000</v>
      </c>
      <c r="AC24" s="12">
        <v>700000</v>
      </c>
      <c r="AD24" s="12">
        <v>659202</v>
      </c>
      <c r="AE24" s="15">
        <f t="shared" si="36"/>
        <v>1.3184039999999999</v>
      </c>
      <c r="AF24" s="11">
        <v>500000</v>
      </c>
      <c r="AG24" s="12">
        <v>577217</v>
      </c>
      <c r="AH24" s="12">
        <v>577217</v>
      </c>
      <c r="AI24" s="22">
        <f t="shared" si="23"/>
        <v>1.154434</v>
      </c>
      <c r="AJ24" s="11">
        <v>500000</v>
      </c>
      <c r="AK24" s="12">
        <v>600000</v>
      </c>
      <c r="AL24" s="12">
        <v>384687</v>
      </c>
      <c r="AM24" s="22">
        <f t="shared" si="16"/>
        <v>0.769374</v>
      </c>
      <c r="AN24" s="11">
        <v>500000</v>
      </c>
      <c r="AO24" s="12">
        <v>700000</v>
      </c>
      <c r="AP24" s="12"/>
      <c r="AQ24" s="24">
        <f t="shared" si="9"/>
        <v>0</v>
      </c>
      <c r="AR24" s="11">
        <v>500000</v>
      </c>
      <c r="AS24" s="12">
        <v>800000</v>
      </c>
      <c r="AT24" s="12"/>
      <c r="AU24" s="14">
        <f t="shared" si="10"/>
        <v>0</v>
      </c>
      <c r="AV24" s="11">
        <v>500000</v>
      </c>
      <c r="AW24" s="12">
        <v>1000000</v>
      </c>
      <c r="AX24" s="12"/>
      <c r="AY24" s="22">
        <f t="shared" si="39"/>
        <v>0</v>
      </c>
      <c r="AZ24" s="25">
        <f t="shared" si="12"/>
        <v>5800000</v>
      </c>
      <c r="BA24" s="26">
        <f t="shared" si="13"/>
        <v>8242593</v>
      </c>
      <c r="BB24" s="12">
        <f t="shared" si="14"/>
        <v>5536294</v>
      </c>
      <c r="BC24" s="23">
        <f t="shared" si="17"/>
        <v>0.95453344827586206</v>
      </c>
    </row>
    <row r="25" spans="1:55" ht="12.75" customHeight="1" thickBot="1" x14ac:dyDescent="0.35">
      <c r="A25" s="20" t="s">
        <v>35</v>
      </c>
      <c r="B25" s="11"/>
      <c r="C25" s="11"/>
      <c r="D25" s="12"/>
      <c r="E25" s="22" t="str">
        <f t="shared" si="0"/>
        <v>----</v>
      </c>
      <c r="F25" s="11"/>
      <c r="G25" s="12"/>
      <c r="H25" s="12"/>
      <c r="I25" s="24" t="str">
        <f t="shared" si="1"/>
        <v>----</v>
      </c>
      <c r="J25" s="11"/>
      <c r="K25" s="12">
        <v>14851.05</v>
      </c>
      <c r="L25" s="12">
        <v>14851.05</v>
      </c>
      <c r="M25" s="24" t="str">
        <f t="shared" si="40"/>
        <v>----</v>
      </c>
      <c r="N25" s="11"/>
      <c r="O25" s="11">
        <v>603.45000000000005</v>
      </c>
      <c r="P25" s="12">
        <v>603.45000000000005</v>
      </c>
      <c r="Q25" s="22" t="str">
        <f t="shared" si="41"/>
        <v>----</v>
      </c>
      <c r="R25" s="11">
        <v>100000</v>
      </c>
      <c r="S25" s="11"/>
      <c r="T25" s="12"/>
      <c r="U25" s="22">
        <f t="shared" si="37"/>
        <v>0</v>
      </c>
      <c r="V25" s="11"/>
      <c r="W25" s="85"/>
      <c r="X25" s="86"/>
      <c r="Y25" s="23" t="str">
        <f t="shared" si="38"/>
        <v>----</v>
      </c>
      <c r="Z25" s="16"/>
      <c r="AA25" s="20" t="s">
        <v>35</v>
      </c>
      <c r="AB25" s="11"/>
      <c r="AC25" s="12"/>
      <c r="AD25" s="12"/>
      <c r="AE25" s="15" t="str">
        <f t="shared" si="36"/>
        <v>----</v>
      </c>
      <c r="AF25" s="11"/>
      <c r="AG25" s="12"/>
      <c r="AH25" s="12"/>
      <c r="AI25" s="22" t="str">
        <f t="shared" si="23"/>
        <v>----</v>
      </c>
      <c r="AJ25" s="11"/>
      <c r="AK25" s="12"/>
      <c r="AL25" s="12"/>
      <c r="AM25" s="22" t="str">
        <f t="shared" si="16"/>
        <v>----</v>
      </c>
      <c r="AN25" s="11"/>
      <c r="AO25" s="12"/>
      <c r="AP25" s="12"/>
      <c r="AQ25" s="24" t="str">
        <f t="shared" si="9"/>
        <v>----</v>
      </c>
      <c r="AR25" s="11"/>
      <c r="AS25" s="12"/>
      <c r="AT25" s="12"/>
      <c r="AU25" s="22" t="str">
        <f t="shared" si="10"/>
        <v>----</v>
      </c>
      <c r="AV25" s="11"/>
      <c r="AW25" s="12"/>
      <c r="AX25" s="12"/>
      <c r="AY25" s="22" t="str">
        <f t="shared" si="39"/>
        <v>----</v>
      </c>
      <c r="AZ25" s="25">
        <f t="shared" si="12"/>
        <v>100000</v>
      </c>
      <c r="BA25" s="26">
        <f t="shared" si="13"/>
        <v>15454.5</v>
      </c>
      <c r="BB25" s="12">
        <f t="shared" si="14"/>
        <v>15454.5</v>
      </c>
      <c r="BC25" s="23">
        <f t="shared" si="17"/>
        <v>0.15454499999999999</v>
      </c>
    </row>
    <row r="26" spans="1:55" ht="12.75" customHeight="1" thickBot="1" x14ac:dyDescent="0.35">
      <c r="A26" s="20" t="s">
        <v>36</v>
      </c>
      <c r="B26" s="11">
        <v>3000000</v>
      </c>
      <c r="C26" s="11">
        <v>2500000</v>
      </c>
      <c r="D26" s="12">
        <v>2602656.2000000002</v>
      </c>
      <c r="E26" s="22">
        <f t="shared" si="0"/>
        <v>0.86755206666666673</v>
      </c>
      <c r="F26" s="11">
        <v>3000000</v>
      </c>
      <c r="G26" s="12">
        <v>2151812.0499999998</v>
      </c>
      <c r="H26" s="12">
        <v>2151812.0499999998</v>
      </c>
      <c r="I26" s="24">
        <f t="shared" si="1"/>
        <v>0.71727068333333333</v>
      </c>
      <c r="J26" s="11">
        <v>2000000</v>
      </c>
      <c r="K26" s="12">
        <v>3712127.98</v>
      </c>
      <c r="L26" s="12">
        <v>3712127.98</v>
      </c>
      <c r="M26" s="24">
        <f t="shared" si="40"/>
        <v>1.85606399</v>
      </c>
      <c r="N26" s="11">
        <v>2000000</v>
      </c>
      <c r="O26" s="12">
        <v>1253592.6803000001</v>
      </c>
      <c r="P26" s="12">
        <v>1253592.6803000001</v>
      </c>
      <c r="Q26" s="22">
        <f t="shared" si="41"/>
        <v>0.62679634015000008</v>
      </c>
      <c r="R26" s="11">
        <v>2500000</v>
      </c>
      <c r="S26" s="132">
        <v>1825594.28</v>
      </c>
      <c r="T26" s="132">
        <v>1825594.28</v>
      </c>
      <c r="U26" s="22">
        <f t="shared" si="37"/>
        <v>0.73023771199999998</v>
      </c>
      <c r="V26" s="11">
        <v>2500000</v>
      </c>
      <c r="W26" s="86">
        <v>2088902.49</v>
      </c>
      <c r="X26" s="86">
        <v>2088902.49</v>
      </c>
      <c r="Y26" s="23">
        <f t="shared" si="38"/>
        <v>0.835560996</v>
      </c>
      <c r="Z26" s="16"/>
      <c r="AA26" s="20" t="s">
        <v>36</v>
      </c>
      <c r="AB26" s="11">
        <v>2500000</v>
      </c>
      <c r="AC26" s="12">
        <v>2751905</v>
      </c>
      <c r="AD26" s="12">
        <v>2751905</v>
      </c>
      <c r="AE26" s="15">
        <f t="shared" si="36"/>
        <v>1.100762</v>
      </c>
      <c r="AF26" s="11">
        <v>2500000</v>
      </c>
      <c r="AG26" s="12">
        <v>3026469.7861500005</v>
      </c>
      <c r="AH26" s="12">
        <v>3026469.7861500005</v>
      </c>
      <c r="AI26" s="22">
        <f t="shared" si="23"/>
        <v>1.2105879144600002</v>
      </c>
      <c r="AJ26" s="11">
        <v>2500000</v>
      </c>
      <c r="AK26" s="12">
        <v>3000000</v>
      </c>
      <c r="AL26" s="151">
        <v>1410376.39</v>
      </c>
      <c r="AM26" s="22">
        <f t="shared" si="16"/>
        <v>0.56415055599999997</v>
      </c>
      <c r="AN26" s="11">
        <v>2500000</v>
      </c>
      <c r="AO26" s="12">
        <v>3000000</v>
      </c>
      <c r="AP26" s="12"/>
      <c r="AQ26" s="24">
        <f t="shared" si="9"/>
        <v>0</v>
      </c>
      <c r="AR26" s="11">
        <v>2500000</v>
      </c>
      <c r="AS26" s="12">
        <v>3500000</v>
      </c>
      <c r="AT26" s="12"/>
      <c r="AU26" s="14">
        <f t="shared" si="10"/>
        <v>0</v>
      </c>
      <c r="AV26" s="11">
        <v>2500000</v>
      </c>
      <c r="AW26" s="12">
        <v>4000000</v>
      </c>
      <c r="AX26" s="12"/>
      <c r="AY26" s="22">
        <f t="shared" si="39"/>
        <v>0</v>
      </c>
      <c r="AZ26" s="25">
        <f t="shared" si="12"/>
        <v>30000000</v>
      </c>
      <c r="BA26" s="26">
        <f t="shared" si="13"/>
        <v>32810404.266449999</v>
      </c>
      <c r="BB26" s="12">
        <f t="shared" si="14"/>
        <v>20823436.856450003</v>
      </c>
      <c r="BC26" s="23">
        <f t="shared" si="17"/>
        <v>0.69411456188166676</v>
      </c>
    </row>
    <row r="27" spans="1:55" ht="12.75" customHeight="1" thickBot="1" x14ac:dyDescent="0.35">
      <c r="A27" s="20" t="s">
        <v>37</v>
      </c>
      <c r="B27" s="11">
        <v>150000</v>
      </c>
      <c r="C27" s="12">
        <v>128735.44999999998</v>
      </c>
      <c r="D27" s="12">
        <v>128735.44999999998</v>
      </c>
      <c r="E27" s="22">
        <f t="shared" si="0"/>
        <v>0.85823633333333327</v>
      </c>
      <c r="F27" s="11">
        <v>150000</v>
      </c>
      <c r="G27" s="12">
        <v>95612.059999999969</v>
      </c>
      <c r="H27" s="12">
        <v>95612.059999999969</v>
      </c>
      <c r="I27" s="24">
        <f t="shared" si="1"/>
        <v>0.63741373333333318</v>
      </c>
      <c r="J27" s="11">
        <v>150000</v>
      </c>
      <c r="K27" s="12">
        <v>71436.78</v>
      </c>
      <c r="L27" s="12">
        <v>71436.78</v>
      </c>
      <c r="M27" s="24">
        <f t="shared" si="40"/>
        <v>0.47624519999999998</v>
      </c>
      <c r="N27" s="11">
        <v>150000</v>
      </c>
      <c r="O27" s="12">
        <v>46018.329999999994</v>
      </c>
      <c r="P27" s="12">
        <v>46018.329999999994</v>
      </c>
      <c r="Q27" s="22">
        <f t="shared" si="41"/>
        <v>0.3067888666666666</v>
      </c>
      <c r="R27" s="11">
        <v>150000</v>
      </c>
      <c r="S27" s="12">
        <v>55836.469999999987</v>
      </c>
      <c r="T27" s="12">
        <v>55836.469999999987</v>
      </c>
      <c r="U27" s="22">
        <f t="shared" si="37"/>
        <v>0.37224313333333325</v>
      </c>
      <c r="V27" s="11">
        <v>150000</v>
      </c>
      <c r="W27" s="86">
        <v>50829.07</v>
      </c>
      <c r="X27" s="86">
        <v>50829.070000000007</v>
      </c>
      <c r="Y27" s="23">
        <f t="shared" si="38"/>
        <v>0.33886046666666669</v>
      </c>
      <c r="Z27" s="16"/>
      <c r="AA27" s="20" t="s">
        <v>37</v>
      </c>
      <c r="AB27" s="11">
        <v>150000</v>
      </c>
      <c r="AC27" s="12">
        <v>39574.720000000001</v>
      </c>
      <c r="AD27" s="12">
        <v>39574.720000000001</v>
      </c>
      <c r="AE27" s="15">
        <f t="shared" si="36"/>
        <v>0.26383146666666668</v>
      </c>
      <c r="AF27" s="11">
        <v>150000</v>
      </c>
      <c r="AG27" s="12">
        <v>63017.07</v>
      </c>
      <c r="AH27" s="12">
        <v>63017.07</v>
      </c>
      <c r="AI27" s="22">
        <f t="shared" si="23"/>
        <v>0.42011379999999998</v>
      </c>
      <c r="AJ27" s="11">
        <v>150000</v>
      </c>
      <c r="AK27" s="12">
        <v>77824.23</v>
      </c>
      <c r="AL27" s="12">
        <v>77824.23</v>
      </c>
      <c r="AM27" s="22">
        <f t="shared" si="16"/>
        <v>0.51882819999999996</v>
      </c>
      <c r="AN27" s="11">
        <v>150000</v>
      </c>
      <c r="AO27" s="12">
        <v>100000</v>
      </c>
      <c r="AP27" s="12"/>
      <c r="AQ27" s="24">
        <f t="shared" si="9"/>
        <v>0</v>
      </c>
      <c r="AR27" s="11">
        <v>150000</v>
      </c>
      <c r="AS27" s="12">
        <v>100000</v>
      </c>
      <c r="AT27" s="12"/>
      <c r="AU27" s="14">
        <f t="shared" si="10"/>
        <v>0</v>
      </c>
      <c r="AV27" s="11">
        <v>150000</v>
      </c>
      <c r="AW27" s="12">
        <v>100000</v>
      </c>
      <c r="AX27" s="12"/>
      <c r="AY27" s="22">
        <f t="shared" si="39"/>
        <v>0</v>
      </c>
      <c r="AZ27" s="25">
        <f t="shared" si="12"/>
        <v>1800000</v>
      </c>
      <c r="BA27" s="26">
        <f t="shared" si="13"/>
        <v>928884.17999999982</v>
      </c>
      <c r="BB27" s="12">
        <f t="shared" si="14"/>
        <v>628884.17999999982</v>
      </c>
      <c r="BC27" s="23">
        <f t="shared" si="17"/>
        <v>0.34938009999999992</v>
      </c>
    </row>
    <row r="28" spans="1:55" ht="12.75" customHeight="1" thickBot="1" x14ac:dyDescent="0.35">
      <c r="A28" s="20" t="s">
        <v>38</v>
      </c>
      <c r="B28" s="11"/>
      <c r="C28" s="11"/>
      <c r="D28" s="12"/>
      <c r="E28" s="22" t="str">
        <f t="shared" si="0"/>
        <v>----</v>
      </c>
      <c r="F28" s="11"/>
      <c r="G28" s="12"/>
      <c r="H28" s="12"/>
      <c r="I28" s="22" t="str">
        <f t="shared" si="1"/>
        <v>----</v>
      </c>
      <c r="J28" s="11"/>
      <c r="K28" s="12"/>
      <c r="L28" s="12"/>
      <c r="M28" s="22" t="str">
        <f t="shared" si="40"/>
        <v>----</v>
      </c>
      <c r="N28" s="11"/>
      <c r="O28" s="11"/>
      <c r="P28" s="12"/>
      <c r="Q28" s="22" t="str">
        <f t="shared" si="41"/>
        <v>----</v>
      </c>
      <c r="R28" s="11"/>
      <c r="S28" s="11"/>
      <c r="T28" s="12"/>
      <c r="U28" s="22" t="str">
        <f t="shared" si="37"/>
        <v>----</v>
      </c>
      <c r="V28" s="11"/>
      <c r="W28" s="84"/>
      <c r="X28" s="86"/>
      <c r="Y28" s="23" t="str">
        <f t="shared" si="38"/>
        <v>----</v>
      </c>
      <c r="Z28" s="16"/>
      <c r="AA28" s="20" t="s">
        <v>38</v>
      </c>
      <c r="AB28" s="11"/>
      <c r="AC28" s="12"/>
      <c r="AD28" s="12"/>
      <c r="AE28" s="15" t="str">
        <f t="shared" si="36"/>
        <v>----</v>
      </c>
      <c r="AF28" s="11"/>
      <c r="AG28" s="12"/>
      <c r="AH28" s="12"/>
      <c r="AI28" s="22" t="str">
        <f t="shared" si="23"/>
        <v>----</v>
      </c>
      <c r="AJ28" s="11"/>
      <c r="AK28" s="12"/>
      <c r="AL28" s="12"/>
      <c r="AM28" s="22" t="str">
        <f t="shared" si="16"/>
        <v>----</v>
      </c>
      <c r="AN28" s="11"/>
      <c r="AO28" s="12"/>
      <c r="AP28" s="12"/>
      <c r="AQ28" s="24" t="str">
        <f t="shared" si="9"/>
        <v>----</v>
      </c>
      <c r="AR28" s="11"/>
      <c r="AS28" s="12"/>
      <c r="AT28" s="12"/>
      <c r="AU28" s="24" t="str">
        <f t="shared" si="10"/>
        <v>----</v>
      </c>
      <c r="AV28" s="11"/>
      <c r="AW28" s="12"/>
      <c r="AX28" s="12"/>
      <c r="AY28" s="22" t="str">
        <f t="shared" si="39"/>
        <v>----</v>
      </c>
      <c r="AZ28" s="25">
        <f t="shared" si="12"/>
        <v>0</v>
      </c>
      <c r="BA28" s="26">
        <f t="shared" si="13"/>
        <v>0</v>
      </c>
      <c r="BB28" s="12">
        <f t="shared" si="14"/>
        <v>0</v>
      </c>
      <c r="BC28" s="23" t="str">
        <f t="shared" si="17"/>
        <v>----</v>
      </c>
    </row>
    <row r="29" spans="1:55" ht="12.75" customHeight="1" thickBot="1" x14ac:dyDescent="0.35">
      <c r="A29" s="20" t="s">
        <v>39</v>
      </c>
      <c r="B29" s="11"/>
      <c r="C29" s="11"/>
      <c r="D29" s="12"/>
      <c r="E29" s="22" t="str">
        <f t="shared" si="0"/>
        <v>----</v>
      </c>
      <c r="F29" s="11"/>
      <c r="G29" s="12"/>
      <c r="H29" s="12"/>
      <c r="I29" s="22" t="str">
        <f t="shared" si="1"/>
        <v>----</v>
      </c>
      <c r="J29" s="11"/>
      <c r="K29" s="12"/>
      <c r="L29" s="12"/>
      <c r="M29" s="22" t="str">
        <f>+IFERROR(L29/J29,"----")</f>
        <v>----</v>
      </c>
      <c r="N29" s="11"/>
      <c r="O29" s="11"/>
      <c r="P29" s="12"/>
      <c r="Q29" s="22" t="str">
        <f t="shared" si="41"/>
        <v>----</v>
      </c>
      <c r="R29" s="11"/>
      <c r="S29" s="11"/>
      <c r="T29" s="12"/>
      <c r="U29" s="22" t="str">
        <f t="shared" si="37"/>
        <v>----</v>
      </c>
      <c r="V29" s="11"/>
      <c r="W29" s="84"/>
      <c r="X29" s="86"/>
      <c r="Y29" s="23" t="str">
        <f>+IFERROR(#REF!/V29,"----")</f>
        <v>----</v>
      </c>
      <c r="Z29" s="16"/>
      <c r="AA29" s="20" t="s">
        <v>39</v>
      </c>
      <c r="AB29" s="11"/>
      <c r="AC29" s="12"/>
      <c r="AD29" s="12"/>
      <c r="AE29" s="15" t="str">
        <f t="shared" si="36"/>
        <v>----</v>
      </c>
      <c r="AF29" s="11"/>
      <c r="AG29" s="12"/>
      <c r="AH29" s="12"/>
      <c r="AI29" s="22" t="str">
        <f t="shared" si="23"/>
        <v>----</v>
      </c>
      <c r="AJ29" s="11"/>
      <c r="AK29" s="12"/>
      <c r="AL29" s="12"/>
      <c r="AM29" s="22" t="str">
        <f t="shared" si="16"/>
        <v>----</v>
      </c>
      <c r="AN29" s="11"/>
      <c r="AO29" s="12"/>
      <c r="AP29" s="12"/>
      <c r="AQ29" s="24" t="str">
        <f t="shared" si="9"/>
        <v>----</v>
      </c>
      <c r="AR29" s="11"/>
      <c r="AS29" s="12"/>
      <c r="AT29" s="12"/>
      <c r="AU29" s="14" t="str">
        <f t="shared" si="10"/>
        <v>----</v>
      </c>
      <c r="AV29" s="11"/>
      <c r="AW29" s="12"/>
      <c r="AX29" s="12"/>
      <c r="AY29" s="22" t="str">
        <f t="shared" si="39"/>
        <v>----</v>
      </c>
      <c r="AZ29" s="25">
        <f t="shared" si="12"/>
        <v>0</v>
      </c>
      <c r="BA29" s="26">
        <f t="shared" si="13"/>
        <v>0</v>
      </c>
      <c r="BB29" s="12">
        <f>D29+H29+L29+P29+T29+X29+AD29+AH29+AL29+AP29+AT29+AX29</f>
        <v>0</v>
      </c>
      <c r="BC29" s="23" t="str">
        <f t="shared" si="17"/>
        <v>----</v>
      </c>
    </row>
    <row r="30" spans="1:55" ht="12.75" customHeight="1" thickBot="1" x14ac:dyDescent="0.35">
      <c r="A30" s="20" t="s">
        <v>92</v>
      </c>
      <c r="B30" s="11">
        <v>10000</v>
      </c>
      <c r="C30" s="11">
        <v>10000</v>
      </c>
      <c r="D30" s="12">
        <v>3066.23</v>
      </c>
      <c r="E30" s="22">
        <f t="shared" si="0"/>
        <v>0.30662299999999998</v>
      </c>
      <c r="F30" s="11">
        <v>10000</v>
      </c>
      <c r="G30" s="12">
        <v>13877.64</v>
      </c>
      <c r="H30" s="12">
        <v>13877.64</v>
      </c>
      <c r="I30" s="22">
        <f t="shared" si="1"/>
        <v>1.387764</v>
      </c>
      <c r="J30" s="11">
        <v>10000</v>
      </c>
      <c r="K30" s="12">
        <v>21623.75</v>
      </c>
      <c r="L30" s="12">
        <v>21623.75</v>
      </c>
      <c r="M30" s="22">
        <f>+IFERROR(L30/J30,"----")</f>
        <v>2.1623749999999999</v>
      </c>
      <c r="N30" s="11">
        <v>10000</v>
      </c>
      <c r="O30" s="12">
        <v>5610</v>
      </c>
      <c r="P30" s="12">
        <v>5610</v>
      </c>
      <c r="Q30" s="22">
        <f t="shared" si="41"/>
        <v>0.56100000000000005</v>
      </c>
      <c r="R30" s="11">
        <v>10000</v>
      </c>
      <c r="S30" s="11">
        <v>10000</v>
      </c>
      <c r="T30" s="12">
        <v>5960</v>
      </c>
      <c r="U30" s="22">
        <f t="shared" si="37"/>
        <v>0.59599999999999997</v>
      </c>
      <c r="V30" s="11">
        <v>10000</v>
      </c>
      <c r="W30" s="134">
        <v>12796</v>
      </c>
      <c r="X30" s="134">
        <v>12796</v>
      </c>
      <c r="Y30" s="23">
        <f>+IFERROR(X29/V30,"----")</f>
        <v>0</v>
      </c>
      <c r="Z30" s="16"/>
      <c r="AA30" s="20" t="s">
        <v>40</v>
      </c>
      <c r="AB30" s="11">
        <v>10000</v>
      </c>
      <c r="AC30" s="12">
        <v>15000</v>
      </c>
      <c r="AD30" s="12">
        <v>14964</v>
      </c>
      <c r="AE30" s="15">
        <f t="shared" si="36"/>
        <v>1.4964</v>
      </c>
      <c r="AF30" s="11">
        <v>10000</v>
      </c>
      <c r="AG30" s="12">
        <v>20070</v>
      </c>
      <c r="AH30" s="12">
        <v>20070</v>
      </c>
      <c r="AI30" s="22">
        <f t="shared" si="23"/>
        <v>2.0070000000000001</v>
      </c>
      <c r="AJ30" s="11">
        <v>10000</v>
      </c>
      <c r="AK30" s="12">
        <v>20000</v>
      </c>
      <c r="AL30" s="12">
        <v>10314</v>
      </c>
      <c r="AM30" s="22">
        <f t="shared" si="16"/>
        <v>1.0314000000000001</v>
      </c>
      <c r="AN30" s="11">
        <v>10000</v>
      </c>
      <c r="AO30" s="12">
        <v>10000</v>
      </c>
      <c r="AP30" s="12"/>
      <c r="AQ30" s="24">
        <f t="shared" si="9"/>
        <v>0</v>
      </c>
      <c r="AR30" s="11">
        <v>10000</v>
      </c>
      <c r="AS30" s="12">
        <v>10000</v>
      </c>
      <c r="AT30" s="12"/>
      <c r="AU30" s="22">
        <f t="shared" si="10"/>
        <v>0</v>
      </c>
      <c r="AV30" s="11">
        <v>10000</v>
      </c>
      <c r="AW30" s="12">
        <v>10000</v>
      </c>
      <c r="AX30" s="12"/>
      <c r="AY30" s="22">
        <f t="shared" si="39"/>
        <v>0</v>
      </c>
      <c r="AZ30" s="25">
        <f t="shared" si="12"/>
        <v>120000</v>
      </c>
      <c r="BA30" s="26">
        <f t="shared" si="13"/>
        <v>158977.39000000001</v>
      </c>
      <c r="BB30" s="12">
        <f>D30+H30+L30+P30+T30+X30+AD30+AH30+AL30+AP30+AT30+AX30</f>
        <v>108281.62</v>
      </c>
      <c r="BC30" s="23">
        <f t="shared" si="17"/>
        <v>0.90234683333333332</v>
      </c>
    </row>
    <row r="31" spans="1:55" ht="12.75" customHeight="1" thickBot="1" x14ac:dyDescent="0.35">
      <c r="A31" s="29" t="s">
        <v>41</v>
      </c>
      <c r="B31" s="11"/>
      <c r="C31" s="11"/>
      <c r="D31" s="12"/>
      <c r="E31" s="24" t="str">
        <f t="shared" si="0"/>
        <v>----</v>
      </c>
      <c r="F31" s="11"/>
      <c r="G31" s="12"/>
      <c r="H31" s="12"/>
      <c r="I31" s="24" t="str">
        <f t="shared" si="1"/>
        <v>----</v>
      </c>
      <c r="J31" s="11"/>
      <c r="K31" s="12"/>
      <c r="L31" s="12"/>
      <c r="M31" s="24" t="str">
        <f t="shared" si="40"/>
        <v>----</v>
      </c>
      <c r="N31" s="11"/>
      <c r="O31" s="11"/>
      <c r="P31" s="12"/>
      <c r="Q31" s="22" t="str">
        <f t="shared" si="41"/>
        <v>----</v>
      </c>
      <c r="R31" s="11"/>
      <c r="S31" s="12"/>
      <c r="T31" s="12"/>
      <c r="U31" s="22" t="str">
        <f t="shared" si="37"/>
        <v>----</v>
      </c>
      <c r="V31" s="11"/>
      <c r="W31" s="84"/>
      <c r="X31" s="86"/>
      <c r="Y31" s="23" t="str">
        <f t="shared" ref="Y31:Y54" si="42">+IFERROR(X31/V31,"----")</f>
        <v>----</v>
      </c>
      <c r="Z31" s="16"/>
      <c r="AA31" s="29" t="s">
        <v>41</v>
      </c>
      <c r="AB31" s="11"/>
      <c r="AC31" s="12"/>
      <c r="AD31" s="12"/>
      <c r="AE31" s="15" t="str">
        <f t="shared" si="36"/>
        <v>----</v>
      </c>
      <c r="AF31" s="11"/>
      <c r="AG31" s="12"/>
      <c r="AH31" s="12"/>
      <c r="AI31" s="22" t="str">
        <f t="shared" si="23"/>
        <v>----</v>
      </c>
      <c r="AJ31" s="11"/>
      <c r="AK31" s="12"/>
      <c r="AL31" s="12"/>
      <c r="AM31" s="22" t="str">
        <f t="shared" si="16"/>
        <v>----</v>
      </c>
      <c r="AN31" s="11"/>
      <c r="AO31" s="12"/>
      <c r="AP31" s="12"/>
      <c r="AQ31" s="22" t="str">
        <f t="shared" si="9"/>
        <v>----</v>
      </c>
      <c r="AR31" s="11"/>
      <c r="AS31" s="12"/>
      <c r="AT31" s="12"/>
      <c r="AU31" s="14" t="str">
        <f t="shared" si="10"/>
        <v>----</v>
      </c>
      <c r="AV31" s="11"/>
      <c r="AW31" s="12"/>
      <c r="AX31" s="12"/>
      <c r="AY31" s="22" t="str">
        <f t="shared" si="39"/>
        <v>----</v>
      </c>
      <c r="AZ31" s="25">
        <f t="shared" si="12"/>
        <v>0</v>
      </c>
      <c r="BA31" s="26">
        <f t="shared" si="13"/>
        <v>0</v>
      </c>
      <c r="BB31" s="12">
        <f t="shared" si="14"/>
        <v>0</v>
      </c>
      <c r="BC31" s="23" t="str">
        <f t="shared" si="17"/>
        <v>----</v>
      </c>
    </row>
    <row r="32" spans="1:55" ht="12.75" customHeight="1" thickBot="1" x14ac:dyDescent="0.35">
      <c r="A32" s="20" t="s">
        <v>42</v>
      </c>
      <c r="B32" s="11">
        <v>500000</v>
      </c>
      <c r="C32" s="12">
        <v>181674.1</v>
      </c>
      <c r="D32" s="12">
        <v>181674.1</v>
      </c>
      <c r="E32" s="22">
        <f t="shared" si="0"/>
        <v>0.36334820000000001</v>
      </c>
      <c r="F32" s="11">
        <v>500000</v>
      </c>
      <c r="G32" s="12">
        <v>542511.69999999995</v>
      </c>
      <c r="H32" s="12">
        <v>542511.69999999995</v>
      </c>
      <c r="I32" s="24">
        <f t="shared" si="1"/>
        <v>1.0850233999999999</v>
      </c>
      <c r="J32" s="11">
        <v>500000</v>
      </c>
      <c r="K32" s="12">
        <v>240663.5</v>
      </c>
      <c r="L32" s="12">
        <v>240663.5</v>
      </c>
      <c r="M32" s="22">
        <f t="shared" si="40"/>
        <v>0.481327</v>
      </c>
      <c r="N32" s="11">
        <v>500000</v>
      </c>
      <c r="O32" s="12">
        <v>469387.19999999995</v>
      </c>
      <c r="P32" s="12">
        <v>469387.19999999995</v>
      </c>
      <c r="Q32" s="22">
        <f t="shared" si="41"/>
        <v>0.9387743999999999</v>
      </c>
      <c r="R32" s="11">
        <v>300000</v>
      </c>
      <c r="S32" s="12">
        <v>406898.5</v>
      </c>
      <c r="T32" s="12">
        <v>406898.5</v>
      </c>
      <c r="U32" s="22">
        <f t="shared" si="37"/>
        <v>1.3563283333333334</v>
      </c>
      <c r="V32" s="11">
        <v>300000</v>
      </c>
      <c r="W32" s="86">
        <v>44574</v>
      </c>
      <c r="X32" s="86">
        <v>44574</v>
      </c>
      <c r="Y32" s="23">
        <f t="shared" si="42"/>
        <v>0.14857999999999999</v>
      </c>
      <c r="Z32" s="16"/>
      <c r="AA32" s="20" t="s">
        <v>42</v>
      </c>
      <c r="AB32" s="11">
        <v>300000</v>
      </c>
      <c r="AC32" s="12">
        <v>422701.7</v>
      </c>
      <c r="AD32" s="12">
        <v>422701.7</v>
      </c>
      <c r="AE32" s="15">
        <f t="shared" si="36"/>
        <v>1.4090056666666666</v>
      </c>
      <c r="AF32" s="11">
        <v>300000</v>
      </c>
      <c r="AG32" s="12">
        <v>398179.39999999997</v>
      </c>
      <c r="AH32" s="12">
        <v>398179.39999999997</v>
      </c>
      <c r="AI32" s="22">
        <f t="shared" si="23"/>
        <v>1.3272646666666665</v>
      </c>
      <c r="AJ32" s="11">
        <v>300000</v>
      </c>
      <c r="AK32" s="12">
        <v>400000</v>
      </c>
      <c r="AL32" s="12"/>
      <c r="AM32" s="22">
        <f t="shared" si="16"/>
        <v>0</v>
      </c>
      <c r="AN32" s="11">
        <v>300000</v>
      </c>
      <c r="AO32" s="12">
        <v>400000</v>
      </c>
      <c r="AP32" s="12"/>
      <c r="AQ32" s="24">
        <f t="shared" si="9"/>
        <v>0</v>
      </c>
      <c r="AR32" s="11">
        <v>300000</v>
      </c>
      <c r="AS32" s="12">
        <v>400000</v>
      </c>
      <c r="AT32" s="12"/>
      <c r="AU32" s="27">
        <f t="shared" si="10"/>
        <v>0</v>
      </c>
      <c r="AV32" s="11">
        <v>300000</v>
      </c>
      <c r="AW32" s="12">
        <v>400000</v>
      </c>
      <c r="AX32" s="12"/>
      <c r="AY32" s="22">
        <f t="shared" si="39"/>
        <v>0</v>
      </c>
      <c r="AZ32" s="25">
        <f t="shared" si="12"/>
        <v>4400000</v>
      </c>
      <c r="BA32" s="26">
        <f t="shared" si="13"/>
        <v>4306590.0999999996</v>
      </c>
      <c r="BB32" s="12">
        <f t="shared" si="14"/>
        <v>2706590.1</v>
      </c>
      <c r="BC32" s="23">
        <f t="shared" si="17"/>
        <v>0.61513411363636361</v>
      </c>
    </row>
    <row r="33" spans="1:55" ht="12.75" customHeight="1" thickBot="1" x14ac:dyDescent="0.35">
      <c r="A33" s="30" t="s">
        <v>43</v>
      </c>
      <c r="B33" s="12"/>
      <c r="C33" s="12"/>
      <c r="D33" s="12"/>
      <c r="E33" s="22" t="str">
        <f t="shared" si="0"/>
        <v>----</v>
      </c>
      <c r="F33" s="12"/>
      <c r="G33" s="12"/>
      <c r="H33" s="12"/>
      <c r="I33" s="22" t="str">
        <f t="shared" si="1"/>
        <v>----</v>
      </c>
      <c r="J33" s="12"/>
      <c r="K33" s="12"/>
      <c r="L33" s="12"/>
      <c r="M33" s="24" t="str">
        <f t="shared" si="40"/>
        <v>----</v>
      </c>
      <c r="N33" s="12"/>
      <c r="O33" s="12"/>
      <c r="P33" s="12"/>
      <c r="Q33" s="22" t="str">
        <f t="shared" si="41"/>
        <v>----</v>
      </c>
      <c r="R33" s="12"/>
      <c r="S33" s="12"/>
      <c r="T33" s="12"/>
      <c r="U33" s="22" t="str">
        <f t="shared" si="37"/>
        <v>----</v>
      </c>
      <c r="V33" s="12"/>
      <c r="W33" s="84"/>
      <c r="X33" s="86"/>
      <c r="Y33" s="23" t="str">
        <f t="shared" si="42"/>
        <v>----</v>
      </c>
      <c r="Z33" s="16"/>
      <c r="AA33" s="30" t="s">
        <v>43</v>
      </c>
      <c r="AB33" s="12"/>
      <c r="AC33" s="12"/>
      <c r="AD33" s="12"/>
      <c r="AE33" s="15" t="str">
        <f t="shared" si="36"/>
        <v>----</v>
      </c>
      <c r="AF33" s="12"/>
      <c r="AG33" s="12"/>
      <c r="AH33" s="12"/>
      <c r="AI33" s="22" t="str">
        <f t="shared" si="23"/>
        <v>----</v>
      </c>
      <c r="AJ33" s="12"/>
      <c r="AK33" s="12"/>
      <c r="AL33" s="12"/>
      <c r="AM33" s="22" t="str">
        <f t="shared" si="16"/>
        <v>----</v>
      </c>
      <c r="AN33" s="12"/>
      <c r="AO33" s="12"/>
      <c r="AP33" s="12"/>
      <c r="AQ33" s="22" t="str">
        <f t="shared" si="9"/>
        <v>----</v>
      </c>
      <c r="AR33" s="12"/>
      <c r="AS33" s="12"/>
      <c r="AT33" s="12"/>
      <c r="AU33" s="14" t="str">
        <f t="shared" si="10"/>
        <v>----</v>
      </c>
      <c r="AV33" s="12"/>
      <c r="AW33" s="12"/>
      <c r="AX33" s="12"/>
      <c r="AY33" s="22" t="str">
        <f t="shared" si="39"/>
        <v>----</v>
      </c>
      <c r="AZ33" s="25">
        <f t="shared" si="12"/>
        <v>0</v>
      </c>
      <c r="BA33" s="26">
        <f t="shared" si="13"/>
        <v>0</v>
      </c>
      <c r="BB33" s="12">
        <f t="shared" si="14"/>
        <v>0</v>
      </c>
      <c r="BC33" s="23" t="str">
        <f t="shared" si="17"/>
        <v>----</v>
      </c>
    </row>
    <row r="34" spans="1:55" ht="12.75" customHeight="1" thickBot="1" x14ac:dyDescent="0.35">
      <c r="A34" s="20" t="s">
        <v>44</v>
      </c>
      <c r="B34" s="11">
        <v>500000</v>
      </c>
      <c r="C34" s="11">
        <v>380000</v>
      </c>
      <c r="D34" s="12">
        <v>374584.4</v>
      </c>
      <c r="E34" s="22">
        <f t="shared" si="0"/>
        <v>0.74916880000000008</v>
      </c>
      <c r="F34" s="11">
        <v>500000</v>
      </c>
      <c r="G34" s="12">
        <v>719513.20000000007</v>
      </c>
      <c r="H34" s="12">
        <v>719513.20000000007</v>
      </c>
      <c r="I34" s="24">
        <f t="shared" si="1"/>
        <v>1.4390264000000001</v>
      </c>
      <c r="J34" s="11">
        <v>500000</v>
      </c>
      <c r="K34" s="12">
        <v>788304</v>
      </c>
      <c r="L34" s="12">
        <v>788304</v>
      </c>
      <c r="M34" s="24">
        <f t="shared" si="40"/>
        <v>1.576608</v>
      </c>
      <c r="N34" s="11">
        <v>500000</v>
      </c>
      <c r="O34" s="12">
        <v>673552.4</v>
      </c>
      <c r="P34" s="12">
        <v>673552.4</v>
      </c>
      <c r="Q34" s="22">
        <f t="shared" si="41"/>
        <v>1.3471048000000001</v>
      </c>
      <c r="R34" s="11">
        <v>500000</v>
      </c>
      <c r="S34" s="12">
        <v>309774</v>
      </c>
      <c r="T34" s="12">
        <v>309774</v>
      </c>
      <c r="U34" s="22">
        <f t="shared" si="37"/>
        <v>0.61954799999999999</v>
      </c>
      <c r="V34" s="11">
        <v>500000</v>
      </c>
      <c r="W34" s="84">
        <v>600000</v>
      </c>
      <c r="X34" s="86">
        <v>547572</v>
      </c>
      <c r="Y34" s="23">
        <f t="shared" si="42"/>
        <v>1.0951439999999999</v>
      </c>
      <c r="Z34" s="16"/>
      <c r="AA34" s="20" t="s">
        <v>44</v>
      </c>
      <c r="AB34" s="11">
        <v>500000</v>
      </c>
      <c r="AC34" s="12">
        <v>700000</v>
      </c>
      <c r="AD34" s="12">
        <v>678708</v>
      </c>
      <c r="AE34" s="15">
        <f t="shared" si="36"/>
        <v>1.357416</v>
      </c>
      <c r="AF34" s="11">
        <v>500000</v>
      </c>
      <c r="AG34" s="12">
        <v>856507.6</v>
      </c>
      <c r="AH34" s="12">
        <v>856507.6</v>
      </c>
      <c r="AI34" s="22">
        <f t="shared" si="23"/>
        <v>1.7130151999999998</v>
      </c>
      <c r="AJ34" s="11">
        <v>500000</v>
      </c>
      <c r="AK34" s="12">
        <v>600000</v>
      </c>
      <c r="AL34" s="12"/>
      <c r="AM34" s="22">
        <f t="shared" si="16"/>
        <v>0</v>
      </c>
      <c r="AN34" s="11">
        <v>500000</v>
      </c>
      <c r="AO34" s="12">
        <v>700000</v>
      </c>
      <c r="AP34" s="12"/>
      <c r="AQ34" s="24">
        <f t="shared" si="9"/>
        <v>0</v>
      </c>
      <c r="AR34" s="11">
        <v>500000</v>
      </c>
      <c r="AS34" s="12">
        <v>800000</v>
      </c>
      <c r="AT34" s="12"/>
      <c r="AU34" s="24">
        <f t="shared" si="10"/>
        <v>0</v>
      </c>
      <c r="AV34" s="11">
        <v>500000</v>
      </c>
      <c r="AW34" s="12">
        <v>800000</v>
      </c>
      <c r="AX34" s="12"/>
      <c r="AY34" s="22">
        <f t="shared" si="39"/>
        <v>0</v>
      </c>
      <c r="AZ34" s="25">
        <f t="shared" si="12"/>
        <v>6000000</v>
      </c>
      <c r="BA34" s="26">
        <f t="shared" si="13"/>
        <v>7927651.2000000002</v>
      </c>
      <c r="BB34" s="12">
        <f>D34+H34+L34+P34+T34+X34+AD34+AH34+AL34+AP34+AT34+AX34</f>
        <v>4948515.5999999996</v>
      </c>
      <c r="BC34" s="23">
        <f t="shared" si="17"/>
        <v>0.82475259999999995</v>
      </c>
    </row>
    <row r="35" spans="1:55" ht="12.75" customHeight="1" thickBot="1" x14ac:dyDescent="0.35">
      <c r="A35" s="30" t="s">
        <v>45</v>
      </c>
      <c r="B35" s="11"/>
      <c r="C35" s="11"/>
      <c r="D35" s="12"/>
      <c r="E35" s="22" t="str">
        <f t="shared" si="0"/>
        <v>----</v>
      </c>
      <c r="F35" s="11"/>
      <c r="G35" s="12"/>
      <c r="H35" s="12"/>
      <c r="I35" s="22" t="str">
        <f t="shared" si="1"/>
        <v>----</v>
      </c>
      <c r="J35" s="11"/>
      <c r="K35" s="12"/>
      <c r="L35" s="12"/>
      <c r="M35" s="22" t="str">
        <f t="shared" si="40"/>
        <v>----</v>
      </c>
      <c r="N35" s="11"/>
      <c r="O35" s="11"/>
      <c r="P35" s="12"/>
      <c r="Q35" s="22" t="str">
        <f t="shared" si="41"/>
        <v>----</v>
      </c>
      <c r="R35" s="11"/>
      <c r="S35" s="11"/>
      <c r="T35" s="12"/>
      <c r="U35" s="22" t="str">
        <f>+IFERROR(#REF!/R35,"----")</f>
        <v>----</v>
      </c>
      <c r="V35" s="11"/>
      <c r="W35" s="84"/>
      <c r="X35" s="86"/>
      <c r="Y35" s="23" t="str">
        <f t="shared" si="42"/>
        <v>----</v>
      </c>
      <c r="Z35" s="16"/>
      <c r="AA35" s="30" t="s">
        <v>45</v>
      </c>
      <c r="AB35" s="11"/>
      <c r="AC35" s="12"/>
      <c r="AD35" s="12"/>
      <c r="AE35" s="15" t="str">
        <f t="shared" si="36"/>
        <v>----</v>
      </c>
      <c r="AF35" s="11"/>
      <c r="AG35" s="12"/>
      <c r="AH35" s="12"/>
      <c r="AI35" s="22" t="str">
        <f t="shared" si="23"/>
        <v>----</v>
      </c>
      <c r="AJ35" s="11"/>
      <c r="AK35" s="12"/>
      <c r="AL35" s="12"/>
      <c r="AM35" s="22" t="str">
        <f t="shared" si="16"/>
        <v>----</v>
      </c>
      <c r="AN35" s="11"/>
      <c r="AO35" s="12"/>
      <c r="AP35" s="12"/>
      <c r="AQ35" s="24" t="str">
        <f t="shared" si="9"/>
        <v>----</v>
      </c>
      <c r="AR35" s="11"/>
      <c r="AS35" s="12"/>
      <c r="AT35" s="12"/>
      <c r="AU35" s="14" t="str">
        <f t="shared" si="10"/>
        <v>----</v>
      </c>
      <c r="AV35" s="11"/>
      <c r="AW35" s="12"/>
      <c r="AX35" s="12"/>
      <c r="AY35" s="22" t="str">
        <f t="shared" si="39"/>
        <v>----</v>
      </c>
      <c r="AZ35" s="25">
        <f t="shared" si="12"/>
        <v>0</v>
      </c>
      <c r="BA35" s="26">
        <f t="shared" si="13"/>
        <v>0</v>
      </c>
      <c r="BB35" s="12">
        <f>D35+H35+L35+P35+T35+X35+AD35+AH35+AL35+AP35+AT35+AX35</f>
        <v>0</v>
      </c>
      <c r="BC35" s="23" t="str">
        <f t="shared" si="17"/>
        <v>----</v>
      </c>
    </row>
    <row r="36" spans="1:55" ht="12.75" customHeight="1" thickBot="1" x14ac:dyDescent="0.35">
      <c r="A36" s="30" t="s">
        <v>46</v>
      </c>
      <c r="B36" s="12">
        <v>100000</v>
      </c>
      <c r="C36" s="12">
        <v>63204</v>
      </c>
      <c r="D36" s="12">
        <v>63204</v>
      </c>
      <c r="E36" s="22">
        <f t="shared" si="0"/>
        <v>0.63204000000000005</v>
      </c>
      <c r="F36" s="12">
        <v>100000</v>
      </c>
      <c r="G36" s="12">
        <v>120048.5</v>
      </c>
      <c r="H36" s="12">
        <v>120048.5</v>
      </c>
      <c r="I36" s="22">
        <f t="shared" si="1"/>
        <v>1.200485</v>
      </c>
      <c r="J36" s="11">
        <v>100000</v>
      </c>
      <c r="K36" s="12">
        <v>69115</v>
      </c>
      <c r="L36" s="12">
        <v>69115</v>
      </c>
      <c r="M36" s="24">
        <f t="shared" si="40"/>
        <v>0.69115000000000004</v>
      </c>
      <c r="N36" s="12">
        <v>100000</v>
      </c>
      <c r="O36" s="12">
        <v>66228.5</v>
      </c>
      <c r="P36" s="12">
        <v>66228.5</v>
      </c>
      <c r="Q36" s="22">
        <f t="shared" si="41"/>
        <v>0.66228500000000001</v>
      </c>
      <c r="R36" s="12">
        <v>100000</v>
      </c>
      <c r="S36" s="130">
        <v>129628</v>
      </c>
      <c r="T36" s="130">
        <v>129628</v>
      </c>
      <c r="U36" s="22">
        <f>+IFERROR(T35/R36,"----")</f>
        <v>0</v>
      </c>
      <c r="V36" s="12">
        <v>100000</v>
      </c>
      <c r="W36" s="86">
        <v>70138.5</v>
      </c>
      <c r="X36" s="86">
        <v>70138.5</v>
      </c>
      <c r="Y36" s="23">
        <f t="shared" si="42"/>
        <v>0.70138500000000004</v>
      </c>
      <c r="Z36" s="16"/>
      <c r="AA36" s="30" t="s">
        <v>46</v>
      </c>
      <c r="AB36" s="12">
        <v>100000</v>
      </c>
      <c r="AC36" s="12">
        <v>139874.5</v>
      </c>
      <c r="AD36" s="12">
        <v>139874.5</v>
      </c>
      <c r="AE36" s="15">
        <f t="shared" si="36"/>
        <v>1.3987449999999999</v>
      </c>
      <c r="AF36" s="12">
        <v>100000</v>
      </c>
      <c r="AG36" s="12">
        <v>69989</v>
      </c>
      <c r="AH36" s="12">
        <v>69989</v>
      </c>
      <c r="AI36" s="22">
        <f t="shared" si="23"/>
        <v>0.69989000000000001</v>
      </c>
      <c r="AJ36" s="12">
        <v>100000</v>
      </c>
      <c r="AK36" s="12">
        <v>100000</v>
      </c>
      <c r="AL36" s="12">
        <v>70219</v>
      </c>
      <c r="AM36" s="22">
        <f t="shared" si="16"/>
        <v>0.70218999999999998</v>
      </c>
      <c r="AN36" s="12">
        <v>100000</v>
      </c>
      <c r="AO36" s="12">
        <v>100000</v>
      </c>
      <c r="AP36" s="12"/>
      <c r="AQ36" s="24">
        <f t="shared" si="9"/>
        <v>0</v>
      </c>
      <c r="AR36" s="12">
        <v>100000</v>
      </c>
      <c r="AS36" s="12">
        <v>100000</v>
      </c>
      <c r="AT36" s="12"/>
      <c r="AU36" s="22">
        <f t="shared" si="10"/>
        <v>0</v>
      </c>
      <c r="AV36" s="12">
        <v>100000</v>
      </c>
      <c r="AW36" s="12">
        <v>100000</v>
      </c>
      <c r="AX36" s="12"/>
      <c r="AY36" s="22">
        <f t="shared" si="39"/>
        <v>0</v>
      </c>
      <c r="AZ36" s="25">
        <f t="shared" si="12"/>
        <v>1200000</v>
      </c>
      <c r="BA36" s="26">
        <f t="shared" si="13"/>
        <v>1128226</v>
      </c>
      <c r="BB36" s="12">
        <f>D36+H36+L36+P36+T35+X36+AD36+AH36+AL36+AP36+AT36+AX36</f>
        <v>668817</v>
      </c>
      <c r="BC36" s="23">
        <f t="shared" si="17"/>
        <v>0.5573475</v>
      </c>
    </row>
    <row r="37" spans="1:55" ht="12.75" customHeight="1" thickBot="1" x14ac:dyDescent="0.35">
      <c r="A37" s="20" t="s">
        <v>47</v>
      </c>
      <c r="B37" s="11"/>
      <c r="C37" s="11"/>
      <c r="D37" s="12"/>
      <c r="E37" s="22" t="str">
        <f t="shared" si="0"/>
        <v>----</v>
      </c>
      <c r="F37" s="11"/>
      <c r="G37" s="12"/>
      <c r="H37" s="12"/>
      <c r="I37" s="24" t="str">
        <f t="shared" si="1"/>
        <v>----</v>
      </c>
      <c r="J37" s="12"/>
      <c r="K37" s="12"/>
      <c r="L37" s="12"/>
      <c r="M37" s="24" t="str">
        <f t="shared" si="40"/>
        <v>----</v>
      </c>
      <c r="N37" s="11"/>
      <c r="O37" s="11"/>
      <c r="P37" s="12"/>
      <c r="Q37" s="22" t="str">
        <f t="shared" si="41"/>
        <v>----</v>
      </c>
      <c r="R37" s="11"/>
      <c r="S37" s="11"/>
      <c r="T37" s="12"/>
      <c r="U37" s="22" t="str">
        <f t="shared" si="37"/>
        <v>----</v>
      </c>
      <c r="V37" s="11"/>
      <c r="W37" s="84"/>
      <c r="X37" s="86"/>
      <c r="Y37" s="23" t="str">
        <f t="shared" si="42"/>
        <v>----</v>
      </c>
      <c r="Z37" s="16"/>
      <c r="AA37" s="20" t="s">
        <v>47</v>
      </c>
      <c r="AB37" s="11"/>
      <c r="AC37" s="12"/>
      <c r="AD37" s="12"/>
      <c r="AE37" s="15" t="str">
        <f t="shared" si="36"/>
        <v>----</v>
      </c>
      <c r="AF37" s="11"/>
      <c r="AG37" s="12"/>
      <c r="AH37" s="12"/>
      <c r="AI37" s="22" t="str">
        <f t="shared" si="23"/>
        <v>----</v>
      </c>
      <c r="AJ37" s="11"/>
      <c r="AK37" s="12"/>
      <c r="AL37" s="12"/>
      <c r="AM37" s="22" t="str">
        <f t="shared" si="16"/>
        <v>----</v>
      </c>
      <c r="AN37" s="11"/>
      <c r="AO37" s="12"/>
      <c r="AP37" s="12"/>
      <c r="AQ37" s="24" t="str">
        <f t="shared" si="9"/>
        <v>----</v>
      </c>
      <c r="AR37" s="11"/>
      <c r="AS37" s="12"/>
      <c r="AT37" s="12"/>
      <c r="AU37" s="14" t="str">
        <f t="shared" si="10"/>
        <v>----</v>
      </c>
      <c r="AV37" s="11"/>
      <c r="AW37" s="12"/>
      <c r="AX37" s="12"/>
      <c r="AY37" s="22" t="str">
        <f t="shared" si="39"/>
        <v>----</v>
      </c>
      <c r="AZ37" s="25">
        <f>B37+F37+J37+N37+R37+V37+AB38+AF37+AJ37+AN37+AR37+AV37</f>
        <v>300000</v>
      </c>
      <c r="BA37" s="26">
        <f t="shared" ref="BA37:BA54" si="43">C37+G37+K37+O37+S37+W37+AC37+AG37+AK37+AO37+AS37+AW37</f>
        <v>0</v>
      </c>
      <c r="BB37" s="12">
        <f t="shared" ref="BB37:BB54" si="44">D37+H37+L37+P37+T37+X37+AD37+AH37+AL37+AP37+AT37+AX37</f>
        <v>0</v>
      </c>
      <c r="BC37" s="23">
        <f t="shared" si="17"/>
        <v>0</v>
      </c>
    </row>
    <row r="38" spans="1:55" ht="12.75" customHeight="1" thickBot="1" x14ac:dyDescent="0.35">
      <c r="A38" s="30" t="s">
        <v>48</v>
      </c>
      <c r="B38" s="11">
        <v>300000</v>
      </c>
      <c r="C38" s="11">
        <v>300000</v>
      </c>
      <c r="D38" s="12">
        <v>286785.40000000002</v>
      </c>
      <c r="E38" s="22">
        <f t="shared" ref="E38:E54" si="45">+IFERROR(D38/B38,"----")</f>
        <v>0.95595133333333338</v>
      </c>
      <c r="F38" s="11">
        <v>300000</v>
      </c>
      <c r="G38" s="12">
        <v>178833.7</v>
      </c>
      <c r="H38" s="12">
        <v>178833.7</v>
      </c>
      <c r="I38" s="22">
        <f t="shared" ref="I38:I55" si="46">+IFERROR(H38/F38,"----")</f>
        <v>0.59611233333333336</v>
      </c>
      <c r="J38" s="12">
        <v>200000</v>
      </c>
      <c r="K38" s="12">
        <v>175301.8</v>
      </c>
      <c r="L38" s="12">
        <v>175301.8</v>
      </c>
      <c r="M38" s="22">
        <f t="shared" si="40"/>
        <v>0.87650899999999998</v>
      </c>
      <c r="N38" s="11">
        <v>200000</v>
      </c>
      <c r="O38" s="12">
        <v>249892.59999999998</v>
      </c>
      <c r="P38" s="12">
        <v>249892.59999999998</v>
      </c>
      <c r="Q38" s="22">
        <f t="shared" si="41"/>
        <v>1.249463</v>
      </c>
      <c r="R38" s="12">
        <v>300000</v>
      </c>
      <c r="S38" s="12">
        <v>324330.90000000002</v>
      </c>
      <c r="T38" s="12">
        <v>324330.90000000002</v>
      </c>
      <c r="U38" s="22">
        <f t="shared" si="37"/>
        <v>1.0811030000000001</v>
      </c>
      <c r="V38" s="12">
        <v>300000</v>
      </c>
      <c r="W38" s="86">
        <v>373545.7</v>
      </c>
      <c r="X38" s="86">
        <v>373545.7</v>
      </c>
      <c r="Y38" s="23">
        <f t="shared" si="42"/>
        <v>1.2451523333333334</v>
      </c>
      <c r="Z38" s="16"/>
      <c r="AA38" s="30" t="s">
        <v>48</v>
      </c>
      <c r="AB38" s="11">
        <v>300000</v>
      </c>
      <c r="AC38" s="12">
        <v>70000</v>
      </c>
      <c r="AD38" s="12">
        <v>64753.35</v>
      </c>
      <c r="AE38" s="15">
        <f t="shared" si="36"/>
        <v>0.21584449999999999</v>
      </c>
      <c r="AF38" s="11">
        <v>300000</v>
      </c>
      <c r="AG38" s="12">
        <v>323280.90000000002</v>
      </c>
      <c r="AH38" s="12">
        <v>323280.90000000002</v>
      </c>
      <c r="AI38" s="22">
        <f t="shared" si="23"/>
        <v>1.0776030000000001</v>
      </c>
      <c r="AJ38" s="11">
        <v>300000</v>
      </c>
      <c r="AK38" s="12">
        <v>260501.7</v>
      </c>
      <c r="AL38" s="12">
        <v>260501.7</v>
      </c>
      <c r="AM38" s="22">
        <f t="shared" si="16"/>
        <v>0.86833900000000008</v>
      </c>
      <c r="AN38" s="11">
        <v>300000</v>
      </c>
      <c r="AO38" s="12">
        <v>250000</v>
      </c>
      <c r="AP38" s="12"/>
      <c r="AQ38" s="24">
        <f t="shared" ref="AQ38:AQ58" si="47">+IFERROR(AP38/AN38,"----")</f>
        <v>0</v>
      </c>
      <c r="AR38" s="11">
        <v>300000</v>
      </c>
      <c r="AS38" s="12">
        <v>250000</v>
      </c>
      <c r="AT38" s="12"/>
      <c r="AU38" s="14">
        <f t="shared" ref="AU38:AU58" si="48">+IFERROR(AT38/AR38,"----")</f>
        <v>0</v>
      </c>
      <c r="AV38" s="11">
        <v>300000</v>
      </c>
      <c r="AW38" s="12">
        <v>250000</v>
      </c>
      <c r="AX38" s="12"/>
      <c r="AY38" s="22">
        <f t="shared" si="39"/>
        <v>0</v>
      </c>
      <c r="AZ38" s="25">
        <f>B38+F38+J38+N38+R38+V38+AB39+AF38+AJ38+AN38+AR38+AV38</f>
        <v>3130000</v>
      </c>
      <c r="BA38" s="26">
        <f t="shared" si="43"/>
        <v>3005687.3000000003</v>
      </c>
      <c r="BB38" s="12">
        <f t="shared" si="44"/>
        <v>2237226.0500000003</v>
      </c>
      <c r="BC38" s="23">
        <f t="shared" si="17"/>
        <v>0.71476870607028764</v>
      </c>
    </row>
    <row r="39" spans="1:55" ht="12.75" customHeight="1" thickBot="1" x14ac:dyDescent="0.35">
      <c r="A39" s="20" t="s">
        <v>49</v>
      </c>
      <c r="B39" s="11"/>
      <c r="C39" s="11"/>
      <c r="D39" s="12"/>
      <c r="E39" s="24" t="str">
        <f t="shared" si="45"/>
        <v>----</v>
      </c>
      <c r="F39" s="11"/>
      <c r="G39" s="12">
        <v>13984</v>
      </c>
      <c r="H39" s="12">
        <v>13984</v>
      </c>
      <c r="I39" s="24" t="str">
        <f t="shared" si="46"/>
        <v>----</v>
      </c>
      <c r="J39" s="11">
        <v>30000</v>
      </c>
      <c r="K39" s="12"/>
      <c r="L39" s="12"/>
      <c r="M39" s="24">
        <f t="shared" si="40"/>
        <v>0</v>
      </c>
      <c r="N39" s="11">
        <v>30000</v>
      </c>
      <c r="O39" s="12">
        <v>12320</v>
      </c>
      <c r="P39" s="12">
        <v>12320</v>
      </c>
      <c r="Q39" s="22">
        <f t="shared" si="41"/>
        <v>0.41066666666666668</v>
      </c>
      <c r="R39" s="11">
        <v>30000</v>
      </c>
      <c r="S39" s="11"/>
      <c r="T39" s="12"/>
      <c r="U39" s="22">
        <f t="shared" si="37"/>
        <v>0</v>
      </c>
      <c r="V39" s="11">
        <v>30000</v>
      </c>
      <c r="W39" s="85"/>
      <c r="X39" s="86"/>
      <c r="Y39" s="23">
        <f t="shared" si="42"/>
        <v>0</v>
      </c>
      <c r="Z39" s="16"/>
      <c r="AA39" s="20" t="s">
        <v>49</v>
      </c>
      <c r="AB39" s="11">
        <v>30000</v>
      </c>
      <c r="AC39" s="12"/>
      <c r="AD39" s="12"/>
      <c r="AE39" s="15">
        <f t="shared" si="36"/>
        <v>0</v>
      </c>
      <c r="AF39" s="11">
        <v>30000</v>
      </c>
      <c r="AG39" s="12"/>
      <c r="AH39" s="12"/>
      <c r="AI39" s="22">
        <f t="shared" si="23"/>
        <v>0</v>
      </c>
      <c r="AJ39" s="11">
        <v>30000</v>
      </c>
      <c r="AK39" s="12"/>
      <c r="AL39" s="12"/>
      <c r="AM39" s="22">
        <f t="shared" si="16"/>
        <v>0</v>
      </c>
      <c r="AN39" s="11">
        <v>30000</v>
      </c>
      <c r="AO39" s="12"/>
      <c r="AP39" s="12"/>
      <c r="AQ39" s="24">
        <f t="shared" si="47"/>
        <v>0</v>
      </c>
      <c r="AR39" s="11">
        <v>30000</v>
      </c>
      <c r="AS39" s="12"/>
      <c r="AT39" s="12"/>
      <c r="AU39" s="24">
        <f t="shared" si="48"/>
        <v>0</v>
      </c>
      <c r="AV39" s="11">
        <v>30000</v>
      </c>
      <c r="AW39" s="12"/>
      <c r="AX39" s="12"/>
      <c r="AY39" s="22">
        <f t="shared" si="39"/>
        <v>0</v>
      </c>
      <c r="AZ39" s="25">
        <f t="shared" ref="AZ39:AZ55" si="49">B39+F39+J39+N39+R39+V39+AB39+AF39+AJ39+AN39+AR39+AV39</f>
        <v>300000</v>
      </c>
      <c r="BA39" s="26">
        <f>C39+G39+K39+O39+S39+W39+AC39+AG39+AK39+AO39+AS39+AW39</f>
        <v>26304</v>
      </c>
      <c r="BB39" s="12">
        <f t="shared" si="44"/>
        <v>26304</v>
      </c>
      <c r="BC39" s="23">
        <f t="shared" si="17"/>
        <v>8.7679999999999994E-2</v>
      </c>
    </row>
    <row r="40" spans="1:55" ht="12.75" customHeight="1" thickBot="1" x14ac:dyDescent="0.35">
      <c r="A40" s="20" t="s">
        <v>50</v>
      </c>
      <c r="B40" s="11">
        <v>300000</v>
      </c>
      <c r="C40" s="11">
        <v>245922.6</v>
      </c>
      <c r="D40" s="12">
        <v>366226.2</v>
      </c>
      <c r="E40" s="24">
        <f t="shared" si="45"/>
        <v>1.2207540000000001</v>
      </c>
      <c r="F40" s="11">
        <v>300000</v>
      </c>
      <c r="G40" s="12">
        <v>69518.8</v>
      </c>
      <c r="H40" s="12">
        <v>69518.8</v>
      </c>
      <c r="I40" s="24">
        <f t="shared" si="46"/>
        <v>0.23172933333333334</v>
      </c>
      <c r="J40" s="11">
        <v>300000</v>
      </c>
      <c r="K40" s="12">
        <v>583510.54999999993</v>
      </c>
      <c r="L40" s="12">
        <v>583510.54999999993</v>
      </c>
      <c r="M40" s="24">
        <f t="shared" si="40"/>
        <v>1.9450351666666665</v>
      </c>
      <c r="N40" s="11">
        <v>300000</v>
      </c>
      <c r="O40" s="12">
        <v>177241.25</v>
      </c>
      <c r="P40" s="12">
        <v>177241.25</v>
      </c>
      <c r="Q40" s="22">
        <f t="shared" si="41"/>
        <v>0.59080416666666669</v>
      </c>
      <c r="R40" s="11">
        <v>300000</v>
      </c>
      <c r="S40" s="12">
        <v>194903.2</v>
      </c>
      <c r="T40" s="12">
        <v>194903.2</v>
      </c>
      <c r="U40" s="22">
        <f t="shared" si="37"/>
        <v>0.64967733333333333</v>
      </c>
      <c r="V40" s="11">
        <v>300000</v>
      </c>
      <c r="W40" s="86">
        <v>280765.95</v>
      </c>
      <c r="X40" s="86">
        <v>280765.95</v>
      </c>
      <c r="Y40" s="23">
        <f t="shared" si="42"/>
        <v>0.93588650000000007</v>
      </c>
      <c r="Z40" s="16"/>
      <c r="AA40" s="20" t="s">
        <v>50</v>
      </c>
      <c r="AB40" s="11">
        <v>300000</v>
      </c>
      <c r="AC40" s="12">
        <v>200000</v>
      </c>
      <c r="AD40" s="12">
        <v>192457.34999999998</v>
      </c>
      <c r="AE40" s="15">
        <f t="shared" si="36"/>
        <v>0.64152449999999994</v>
      </c>
      <c r="AF40" s="11">
        <v>300000</v>
      </c>
      <c r="AG40" s="12">
        <v>241953.1</v>
      </c>
      <c r="AH40" s="12">
        <v>241953.1</v>
      </c>
      <c r="AI40" s="22">
        <f t="shared" si="23"/>
        <v>0.80651033333333333</v>
      </c>
      <c r="AJ40" s="11">
        <v>300000</v>
      </c>
      <c r="AK40" s="12">
        <v>166957.54999999999</v>
      </c>
      <c r="AL40" s="12">
        <v>166957.54999999999</v>
      </c>
      <c r="AM40" s="22">
        <f t="shared" si="16"/>
        <v>0.55652516666666663</v>
      </c>
      <c r="AN40" s="11">
        <v>300000</v>
      </c>
      <c r="AO40" s="12">
        <v>300000</v>
      </c>
      <c r="AP40" s="12"/>
      <c r="AQ40" s="24">
        <f t="shared" si="47"/>
        <v>0</v>
      </c>
      <c r="AR40" s="11">
        <v>300000</v>
      </c>
      <c r="AS40" s="12">
        <v>300000</v>
      </c>
      <c r="AT40" s="12"/>
      <c r="AU40" s="14">
        <f t="shared" si="48"/>
        <v>0</v>
      </c>
      <c r="AV40" s="11">
        <v>300000</v>
      </c>
      <c r="AW40" s="12">
        <v>300000</v>
      </c>
      <c r="AX40" s="12"/>
      <c r="AY40" s="22">
        <f t="shared" si="39"/>
        <v>0</v>
      </c>
      <c r="AZ40" s="25">
        <f t="shared" si="49"/>
        <v>3600000</v>
      </c>
      <c r="BA40" s="26">
        <f>C40+G40+K40+O40+S40+W40+AC40+AG40+AK40+AO40+AS40+AW40</f>
        <v>3060773</v>
      </c>
      <c r="BB40" s="12">
        <f t="shared" si="44"/>
        <v>2273533.9499999997</v>
      </c>
      <c r="BC40" s="23">
        <f t="shared" si="17"/>
        <v>0.63153720833333327</v>
      </c>
    </row>
    <row r="41" spans="1:55" ht="12.75" customHeight="1" thickBot="1" x14ac:dyDescent="0.35">
      <c r="A41" s="20" t="s">
        <v>104</v>
      </c>
      <c r="B41" s="11">
        <v>300000</v>
      </c>
      <c r="C41" s="12">
        <v>555084</v>
      </c>
      <c r="D41" s="12">
        <v>555084</v>
      </c>
      <c r="E41" s="24">
        <f t="shared" si="45"/>
        <v>1.8502799999999999</v>
      </c>
      <c r="F41" s="11">
        <v>300000</v>
      </c>
      <c r="G41" s="12">
        <v>370656</v>
      </c>
      <c r="H41" s="12">
        <v>370656</v>
      </c>
      <c r="I41" s="24">
        <f t="shared" si="46"/>
        <v>1.23552</v>
      </c>
      <c r="J41" s="11">
        <v>300000</v>
      </c>
      <c r="K41" s="12">
        <v>299125.7</v>
      </c>
      <c r="L41" s="12">
        <v>299125.7</v>
      </c>
      <c r="M41" s="24">
        <f t="shared" si="40"/>
        <v>0.99708566666666676</v>
      </c>
      <c r="N41" s="11">
        <v>300000</v>
      </c>
      <c r="O41" s="12">
        <v>594030</v>
      </c>
      <c r="P41" s="12">
        <v>594030</v>
      </c>
      <c r="Q41" s="22">
        <f t="shared" si="41"/>
        <v>1.9801</v>
      </c>
      <c r="R41" s="11">
        <v>300000</v>
      </c>
      <c r="S41" s="12">
        <v>525257.4</v>
      </c>
      <c r="T41" s="12">
        <v>525257.4</v>
      </c>
      <c r="U41" s="22">
        <f t="shared" si="37"/>
        <v>1.750858</v>
      </c>
      <c r="V41" s="11">
        <v>300000</v>
      </c>
      <c r="W41" s="85">
        <v>300000</v>
      </c>
      <c r="X41" s="86">
        <v>297360</v>
      </c>
      <c r="Y41" s="23">
        <f t="shared" si="42"/>
        <v>0.99119999999999997</v>
      </c>
      <c r="Z41" s="16"/>
      <c r="AA41" s="20" t="s">
        <v>51</v>
      </c>
      <c r="AB41" s="11">
        <v>300000</v>
      </c>
      <c r="AC41" s="12">
        <v>701393.1</v>
      </c>
      <c r="AD41" s="12">
        <v>701393.1</v>
      </c>
      <c r="AE41" s="15">
        <f t="shared" si="36"/>
        <v>2.337977</v>
      </c>
      <c r="AF41" s="11">
        <v>300000</v>
      </c>
      <c r="AG41" s="12">
        <v>597678</v>
      </c>
      <c r="AH41" s="12">
        <v>596178</v>
      </c>
      <c r="AI41" s="22">
        <f t="shared" si="23"/>
        <v>1.98726</v>
      </c>
      <c r="AJ41" s="11">
        <v>300000</v>
      </c>
      <c r="AK41" s="12"/>
      <c r="AL41" s="12"/>
      <c r="AM41" s="22">
        <f t="shared" si="16"/>
        <v>0</v>
      </c>
      <c r="AN41" s="11">
        <v>300000</v>
      </c>
      <c r="AO41" s="12">
        <v>300000</v>
      </c>
      <c r="AP41" s="12"/>
      <c r="AQ41" s="24">
        <f t="shared" si="47"/>
        <v>0</v>
      </c>
      <c r="AR41" s="11">
        <v>300000</v>
      </c>
      <c r="AS41" s="12">
        <v>300000</v>
      </c>
      <c r="AT41" s="12"/>
      <c r="AU41" s="22">
        <f t="shared" si="48"/>
        <v>0</v>
      </c>
      <c r="AV41" s="11">
        <v>300000</v>
      </c>
      <c r="AW41" s="12">
        <v>300000</v>
      </c>
      <c r="AX41" s="12"/>
      <c r="AY41" s="22">
        <f t="shared" si="39"/>
        <v>0</v>
      </c>
      <c r="AZ41" s="25">
        <f t="shared" si="49"/>
        <v>3600000</v>
      </c>
      <c r="BA41" s="26">
        <f t="shared" si="43"/>
        <v>4843224.2</v>
      </c>
      <c r="BB41" s="12">
        <f t="shared" si="44"/>
        <v>3939084.2</v>
      </c>
      <c r="BC41" s="23">
        <f t="shared" si="17"/>
        <v>1.0941900555555557</v>
      </c>
    </row>
    <row r="42" spans="1:55" ht="12.75" customHeight="1" thickBot="1" x14ac:dyDescent="0.35">
      <c r="A42" s="20" t="s">
        <v>52</v>
      </c>
      <c r="B42" s="11"/>
      <c r="C42" s="11"/>
      <c r="D42" s="12"/>
      <c r="E42" s="24" t="str">
        <f t="shared" si="45"/>
        <v>----</v>
      </c>
      <c r="F42" s="11"/>
      <c r="G42" s="12"/>
      <c r="H42" s="12"/>
      <c r="I42" s="24" t="str">
        <f t="shared" si="46"/>
        <v>----</v>
      </c>
      <c r="J42" s="11"/>
      <c r="K42" s="12"/>
      <c r="L42" s="12"/>
      <c r="M42" s="24" t="str">
        <f t="shared" si="40"/>
        <v>----</v>
      </c>
      <c r="N42" s="11"/>
      <c r="O42" s="11"/>
      <c r="P42" s="12"/>
      <c r="Q42" s="22" t="str">
        <f t="shared" si="41"/>
        <v>----</v>
      </c>
      <c r="R42" s="11"/>
      <c r="S42" s="11"/>
      <c r="T42" s="12"/>
      <c r="U42" s="22" t="str">
        <f t="shared" si="37"/>
        <v>----</v>
      </c>
      <c r="V42" s="11"/>
      <c r="W42" s="84"/>
      <c r="X42" s="86"/>
      <c r="Y42" s="23" t="str">
        <f t="shared" si="42"/>
        <v>----</v>
      </c>
      <c r="Z42" s="16"/>
      <c r="AA42" s="20" t="s">
        <v>52</v>
      </c>
      <c r="AB42" s="11"/>
      <c r="AC42" s="12">
        <v>100000</v>
      </c>
      <c r="AD42" s="12">
        <v>89210.500000000015</v>
      </c>
      <c r="AE42" s="15" t="str">
        <f t="shared" si="36"/>
        <v>----</v>
      </c>
      <c r="AF42" s="11"/>
      <c r="AG42" s="12">
        <v>107012.4</v>
      </c>
      <c r="AH42" s="12">
        <v>107012.4</v>
      </c>
      <c r="AI42" s="22" t="str">
        <f t="shared" si="23"/>
        <v>----</v>
      </c>
      <c r="AJ42" s="11"/>
      <c r="AK42" s="12"/>
      <c r="AL42" s="12"/>
      <c r="AM42" s="22" t="str">
        <f t="shared" si="16"/>
        <v>----</v>
      </c>
      <c r="AN42" s="11"/>
      <c r="AO42" s="12"/>
      <c r="AP42" s="12"/>
      <c r="AQ42" s="24" t="str">
        <f t="shared" si="47"/>
        <v>----</v>
      </c>
      <c r="AR42" s="11"/>
      <c r="AS42" s="12"/>
      <c r="AT42" s="12"/>
      <c r="AU42" s="14" t="str">
        <f t="shared" si="48"/>
        <v>----</v>
      </c>
      <c r="AV42" s="11"/>
      <c r="AW42" s="12"/>
      <c r="AX42" s="12"/>
      <c r="AY42" s="22" t="str">
        <f t="shared" si="39"/>
        <v>----</v>
      </c>
      <c r="AZ42" s="25">
        <f t="shared" si="49"/>
        <v>0</v>
      </c>
      <c r="BA42" s="26">
        <f t="shared" si="43"/>
        <v>207012.4</v>
      </c>
      <c r="BB42" s="12">
        <f t="shared" si="44"/>
        <v>196222.90000000002</v>
      </c>
      <c r="BC42" s="23" t="str">
        <f t="shared" si="17"/>
        <v>----</v>
      </c>
    </row>
    <row r="43" spans="1:55" ht="18" customHeight="1" thickBot="1" x14ac:dyDescent="0.35">
      <c r="A43" s="28" t="s">
        <v>53</v>
      </c>
      <c r="B43" s="11">
        <v>200000</v>
      </c>
      <c r="C43" s="11">
        <v>103493.95</v>
      </c>
      <c r="D43" s="12">
        <v>103493.95</v>
      </c>
      <c r="E43" s="24">
        <f t="shared" si="45"/>
        <v>0.51746974999999995</v>
      </c>
      <c r="F43" s="11">
        <v>200000</v>
      </c>
      <c r="G43" s="12"/>
      <c r="H43" s="12"/>
      <c r="I43" s="24">
        <f t="shared" si="46"/>
        <v>0</v>
      </c>
      <c r="J43" s="11">
        <v>200000</v>
      </c>
      <c r="K43" s="12"/>
      <c r="L43" s="12"/>
      <c r="M43" s="24">
        <f t="shared" si="40"/>
        <v>0</v>
      </c>
      <c r="N43" s="11">
        <v>200000</v>
      </c>
      <c r="O43" s="11">
        <v>99425.9</v>
      </c>
      <c r="P43" s="12">
        <v>99425.9</v>
      </c>
      <c r="Q43" s="22">
        <f t="shared" si="41"/>
        <v>0.49712949999999995</v>
      </c>
      <c r="R43" s="11">
        <v>200000</v>
      </c>
      <c r="S43" s="11"/>
      <c r="T43" s="12"/>
      <c r="U43" s="22">
        <f t="shared" si="37"/>
        <v>0</v>
      </c>
      <c r="V43" s="11">
        <v>200000</v>
      </c>
      <c r="W43" s="84"/>
      <c r="X43" s="86"/>
      <c r="Y43" s="23">
        <f t="shared" si="42"/>
        <v>0</v>
      </c>
      <c r="Z43" s="16"/>
      <c r="AA43" s="28" t="s">
        <v>54</v>
      </c>
      <c r="AB43" s="11">
        <v>200000</v>
      </c>
      <c r="AC43" s="12">
        <v>100903.4</v>
      </c>
      <c r="AD43" s="12">
        <v>100903.4</v>
      </c>
      <c r="AE43" s="15">
        <f t="shared" si="36"/>
        <v>0.50451699999999999</v>
      </c>
      <c r="AF43" s="11">
        <v>200000</v>
      </c>
      <c r="AG43" s="12"/>
      <c r="AH43" s="12"/>
      <c r="AI43" s="22">
        <f t="shared" si="23"/>
        <v>0</v>
      </c>
      <c r="AJ43" s="11">
        <v>200000</v>
      </c>
      <c r="AK43" s="12"/>
      <c r="AL43" s="12"/>
      <c r="AM43" s="22">
        <f t="shared" si="16"/>
        <v>0</v>
      </c>
      <c r="AN43" s="11">
        <v>200000</v>
      </c>
      <c r="AO43" s="12">
        <v>100000</v>
      </c>
      <c r="AP43" s="12"/>
      <c r="AQ43" s="24">
        <f t="shared" si="47"/>
        <v>0</v>
      </c>
      <c r="AR43" s="11">
        <v>200000</v>
      </c>
      <c r="AS43" s="12">
        <v>100000</v>
      </c>
      <c r="AT43" s="12"/>
      <c r="AU43" s="27">
        <f t="shared" si="48"/>
        <v>0</v>
      </c>
      <c r="AV43" s="11">
        <v>200000</v>
      </c>
      <c r="AW43" s="12">
        <v>100000</v>
      </c>
      <c r="AX43" s="12"/>
      <c r="AY43" s="22">
        <f t="shared" si="39"/>
        <v>0</v>
      </c>
      <c r="AZ43" s="25">
        <f t="shared" si="49"/>
        <v>2400000</v>
      </c>
      <c r="BA43" s="26">
        <f t="shared" si="43"/>
        <v>603823.25</v>
      </c>
      <c r="BB43" s="12">
        <f t="shared" si="44"/>
        <v>303823.25</v>
      </c>
      <c r="BC43" s="23">
        <f t="shared" si="17"/>
        <v>0.12659302083333332</v>
      </c>
    </row>
    <row r="44" spans="1:55" ht="81" customHeight="1" thickBot="1" x14ac:dyDescent="0.35">
      <c r="A44" s="28" t="s">
        <v>112</v>
      </c>
      <c r="B44" s="11">
        <v>2000000</v>
      </c>
      <c r="C44" s="11">
        <v>2000000</v>
      </c>
      <c r="D44" s="12">
        <v>1958220.27</v>
      </c>
      <c r="E44" s="24">
        <f t="shared" si="45"/>
        <v>0.97911013499999999</v>
      </c>
      <c r="F44" s="11">
        <v>500000</v>
      </c>
      <c r="G44" s="12">
        <v>500296.05</v>
      </c>
      <c r="H44" s="12">
        <v>500296.05</v>
      </c>
      <c r="I44" s="24">
        <f t="shared" si="46"/>
        <v>1.0005921</v>
      </c>
      <c r="J44" s="11">
        <v>500000</v>
      </c>
      <c r="K44" s="12">
        <v>371313.24999999994</v>
      </c>
      <c r="L44" s="12">
        <v>371313.25</v>
      </c>
      <c r="M44" s="24">
        <f t="shared" si="40"/>
        <v>0.74262649999999997</v>
      </c>
      <c r="N44" s="11">
        <v>1000000</v>
      </c>
      <c r="O44" s="12">
        <v>234340.25</v>
      </c>
      <c r="P44" s="12">
        <v>234340.25</v>
      </c>
      <c r="Q44" s="22">
        <f t="shared" si="41"/>
        <v>0.23434025</v>
      </c>
      <c r="R44" s="11">
        <v>100000</v>
      </c>
      <c r="S44" s="12">
        <v>200000</v>
      </c>
      <c r="T44" s="12">
        <v>167648.20000000001</v>
      </c>
      <c r="U44" s="22">
        <f>+IFERROR(T44/R44,"----")</f>
        <v>1.676482</v>
      </c>
      <c r="V44" s="11">
        <v>100000</v>
      </c>
      <c r="W44" s="141">
        <v>255890</v>
      </c>
      <c r="X44" s="141">
        <v>255890</v>
      </c>
      <c r="Y44" s="23">
        <f t="shared" si="42"/>
        <v>2.5589</v>
      </c>
      <c r="Z44" s="16"/>
      <c r="AA44" s="28" t="s">
        <v>86</v>
      </c>
      <c r="AB44" s="11">
        <v>100000</v>
      </c>
      <c r="AC44" s="12">
        <f>194053.4-59053.4</f>
        <v>135000</v>
      </c>
      <c r="AD44" s="12">
        <f>194053.4-59053.4</f>
        <v>135000</v>
      </c>
      <c r="AE44" s="15">
        <f t="shared" si="36"/>
        <v>1.35</v>
      </c>
      <c r="AF44" s="11">
        <v>100000</v>
      </c>
      <c r="AG44" s="12">
        <v>206000.34999999998</v>
      </c>
      <c r="AH44" s="12">
        <v>206000.34999999998</v>
      </c>
      <c r="AI44" s="22">
        <f t="shared" si="23"/>
        <v>2.0600034999999997</v>
      </c>
      <c r="AJ44" s="11">
        <v>100000</v>
      </c>
      <c r="AK44" s="12">
        <v>2000000</v>
      </c>
      <c r="AL44" s="12">
        <v>1977840.4900000002</v>
      </c>
      <c r="AM44" s="22">
        <f t="shared" si="16"/>
        <v>19.778404900000002</v>
      </c>
      <c r="AN44" s="11">
        <v>100000</v>
      </c>
      <c r="AO44" s="12">
        <v>300000</v>
      </c>
      <c r="AP44" s="12"/>
      <c r="AQ44" s="24">
        <f t="shared" si="47"/>
        <v>0</v>
      </c>
      <c r="AR44" s="11">
        <v>100000</v>
      </c>
      <c r="AS44" s="12">
        <v>300000</v>
      </c>
      <c r="AT44" s="12"/>
      <c r="AU44" s="14">
        <f t="shared" si="48"/>
        <v>0</v>
      </c>
      <c r="AV44" s="11">
        <v>100000</v>
      </c>
      <c r="AW44" s="12">
        <v>300000</v>
      </c>
      <c r="AX44" s="12"/>
      <c r="AY44" s="22">
        <f t="shared" si="39"/>
        <v>0</v>
      </c>
      <c r="AZ44" s="25">
        <f t="shared" si="49"/>
        <v>4800000</v>
      </c>
      <c r="BA44" s="26">
        <f t="shared" si="43"/>
        <v>6802839.9000000004</v>
      </c>
      <c r="BB44" s="12">
        <f t="shared" si="44"/>
        <v>5806548.8600000003</v>
      </c>
      <c r="BC44" s="23">
        <f t="shared" si="17"/>
        <v>1.2096976791666667</v>
      </c>
    </row>
    <row r="45" spans="1:55" ht="42.75" customHeight="1" thickBot="1" x14ac:dyDescent="0.35">
      <c r="A45" s="28" t="s">
        <v>56</v>
      </c>
      <c r="B45" s="11">
        <v>500000</v>
      </c>
      <c r="C45" s="12">
        <v>606196.19000000018</v>
      </c>
      <c r="D45" s="12">
        <v>606196.19000000018</v>
      </c>
      <c r="E45" s="24">
        <f t="shared" si="45"/>
        <v>1.2123923800000003</v>
      </c>
      <c r="F45" s="11">
        <v>500000</v>
      </c>
      <c r="G45" s="12">
        <v>719115.2300000001</v>
      </c>
      <c r="H45" s="12">
        <v>719115.2300000001</v>
      </c>
      <c r="I45" s="24">
        <f t="shared" si="46"/>
        <v>1.4382304600000002</v>
      </c>
      <c r="J45" s="11">
        <v>500000</v>
      </c>
      <c r="K45" s="12">
        <v>870534.71000000008</v>
      </c>
      <c r="L45" s="12">
        <v>870534.71000000008</v>
      </c>
      <c r="M45" s="24">
        <f t="shared" si="40"/>
        <v>1.7410694200000001</v>
      </c>
      <c r="N45" s="11">
        <v>500000</v>
      </c>
      <c r="O45" s="12">
        <v>620733.06999999983</v>
      </c>
      <c r="P45" s="12">
        <v>620733.06999999983</v>
      </c>
      <c r="Q45" s="22">
        <f t="shared" si="41"/>
        <v>1.2414661399999998</v>
      </c>
      <c r="R45" s="11">
        <v>500000</v>
      </c>
      <c r="S45" s="12">
        <v>625892.7699999999</v>
      </c>
      <c r="T45" s="12">
        <v>625892.7699999999</v>
      </c>
      <c r="U45" s="22">
        <f t="shared" si="37"/>
        <v>1.2517855399999998</v>
      </c>
      <c r="V45" s="11">
        <v>500000</v>
      </c>
      <c r="W45" s="88">
        <v>1125691.5000000002</v>
      </c>
      <c r="X45" s="88">
        <v>1125691.5000000002</v>
      </c>
      <c r="Y45" s="23">
        <f t="shared" si="42"/>
        <v>2.2513830000000006</v>
      </c>
      <c r="Z45" s="16"/>
      <c r="AA45" s="28" t="s">
        <v>56</v>
      </c>
      <c r="AB45" s="11">
        <v>500000</v>
      </c>
      <c r="AC45" s="12">
        <v>1007678.5700000001</v>
      </c>
      <c r="AD45" s="12">
        <v>1007678.5700000001</v>
      </c>
      <c r="AE45" s="15">
        <f t="shared" si="36"/>
        <v>2.0153571400000003</v>
      </c>
      <c r="AF45" s="11">
        <v>500000</v>
      </c>
      <c r="AG45" s="12">
        <v>750471.15999999992</v>
      </c>
      <c r="AH45" s="12">
        <v>750641.15999999992</v>
      </c>
      <c r="AI45" s="22">
        <f t="shared" si="23"/>
        <v>1.5012823199999998</v>
      </c>
      <c r="AJ45" s="11">
        <v>500000</v>
      </c>
      <c r="AK45" s="12">
        <v>900000</v>
      </c>
      <c r="AL45" s="12">
        <v>697154.96000000008</v>
      </c>
      <c r="AM45" s="22">
        <f t="shared" si="16"/>
        <v>1.3943099200000002</v>
      </c>
      <c r="AN45" s="11">
        <v>500000</v>
      </c>
      <c r="AO45" s="12">
        <v>600000</v>
      </c>
      <c r="AP45" s="12"/>
      <c r="AQ45" s="24">
        <f t="shared" si="47"/>
        <v>0</v>
      </c>
      <c r="AR45" s="11">
        <v>500000</v>
      </c>
      <c r="AS45" s="12">
        <v>600000</v>
      </c>
      <c r="AT45" s="12"/>
      <c r="AU45" s="14">
        <f t="shared" si="48"/>
        <v>0</v>
      </c>
      <c r="AV45" s="11">
        <v>500000</v>
      </c>
      <c r="AW45" s="12">
        <v>600000</v>
      </c>
      <c r="AX45" s="12"/>
      <c r="AY45" s="22">
        <f t="shared" si="39"/>
        <v>0</v>
      </c>
      <c r="AZ45" s="25">
        <f t="shared" si="49"/>
        <v>6000000</v>
      </c>
      <c r="BA45" s="26">
        <f t="shared" si="43"/>
        <v>9026313.2000000011</v>
      </c>
      <c r="BB45" s="12">
        <f t="shared" si="44"/>
        <v>7023638.1600000011</v>
      </c>
      <c r="BC45" s="23">
        <f t="shared" si="17"/>
        <v>1.1706063600000003</v>
      </c>
    </row>
    <row r="46" spans="1:55" ht="12.75" customHeight="1" thickBot="1" x14ac:dyDescent="0.35">
      <c r="A46" s="29" t="s">
        <v>57</v>
      </c>
      <c r="B46" s="11"/>
      <c r="C46" s="12"/>
      <c r="D46" s="12"/>
      <c r="E46" s="31" t="str">
        <f t="shared" si="45"/>
        <v>----</v>
      </c>
      <c r="F46" s="11"/>
      <c r="G46" s="12"/>
      <c r="H46" s="12"/>
      <c r="I46" s="31" t="str">
        <f t="shared" si="46"/>
        <v>----</v>
      </c>
      <c r="J46" s="11"/>
      <c r="K46" s="12"/>
      <c r="L46" s="72"/>
      <c r="M46" s="31" t="str">
        <f t="shared" si="40"/>
        <v>----</v>
      </c>
      <c r="N46" s="11"/>
      <c r="O46" s="11"/>
      <c r="P46" s="12"/>
      <c r="Q46" s="32" t="str">
        <f t="shared" si="41"/>
        <v>----</v>
      </c>
      <c r="R46" s="11"/>
      <c r="S46" s="11"/>
      <c r="T46" s="12"/>
      <c r="U46" s="32" t="str">
        <f t="shared" si="37"/>
        <v>----</v>
      </c>
      <c r="V46" s="11"/>
      <c r="W46" s="84"/>
      <c r="X46" s="136"/>
      <c r="Y46" s="33" t="str">
        <f t="shared" si="42"/>
        <v>----</v>
      </c>
      <c r="Z46" s="16"/>
      <c r="AA46" s="29" t="s">
        <v>57</v>
      </c>
      <c r="AB46" s="11"/>
      <c r="AC46" s="12"/>
      <c r="AD46" s="12"/>
      <c r="AE46" s="15" t="str">
        <f t="shared" si="36"/>
        <v>----</v>
      </c>
      <c r="AF46" s="11"/>
      <c r="AG46" s="12"/>
      <c r="AH46" s="12"/>
      <c r="AI46" s="32" t="str">
        <f t="shared" si="23"/>
        <v>----</v>
      </c>
      <c r="AJ46" s="11"/>
      <c r="AK46" s="12"/>
      <c r="AL46" s="12"/>
      <c r="AM46" s="32" t="str">
        <f t="shared" si="16"/>
        <v>----</v>
      </c>
      <c r="AN46" s="11"/>
      <c r="AO46" s="12"/>
      <c r="AP46" s="12"/>
      <c r="AQ46" s="34" t="str">
        <f t="shared" si="47"/>
        <v>----</v>
      </c>
      <c r="AR46" s="11"/>
      <c r="AS46" s="12"/>
      <c r="AT46" s="12"/>
      <c r="AU46" s="24" t="str">
        <f t="shared" si="48"/>
        <v>----</v>
      </c>
      <c r="AV46" s="11"/>
      <c r="AW46" s="12"/>
      <c r="AX46" s="12"/>
      <c r="AY46" s="32" t="str">
        <f t="shared" si="39"/>
        <v>----</v>
      </c>
      <c r="AZ46" s="35">
        <f t="shared" si="49"/>
        <v>0</v>
      </c>
      <c r="BA46" s="36">
        <f t="shared" si="43"/>
        <v>0</v>
      </c>
      <c r="BB46" s="12">
        <f t="shared" si="44"/>
        <v>0</v>
      </c>
      <c r="BC46" s="33" t="str">
        <f t="shared" si="17"/>
        <v>----</v>
      </c>
    </row>
    <row r="47" spans="1:55" ht="12.75" customHeight="1" thickBot="1" x14ac:dyDescent="0.35">
      <c r="A47" s="30" t="s">
        <v>95</v>
      </c>
      <c r="B47" s="11">
        <v>300000</v>
      </c>
      <c r="C47" s="12">
        <v>66989</v>
      </c>
      <c r="D47" s="12">
        <v>66989</v>
      </c>
      <c r="E47" s="22">
        <f t="shared" ref="E47" si="50">+IFERROR(D47/B47,"----")</f>
        <v>0.22329666666666667</v>
      </c>
      <c r="F47" s="11">
        <v>300000</v>
      </c>
      <c r="G47" s="12">
        <v>166322</v>
      </c>
      <c r="H47" s="12">
        <v>166322</v>
      </c>
      <c r="I47" s="22">
        <f t="shared" ref="I47" si="51">+IFERROR(H47/F47,"----")</f>
        <v>0.55440666666666671</v>
      </c>
      <c r="J47" s="11">
        <v>300000</v>
      </c>
      <c r="K47" s="88">
        <v>99092.5</v>
      </c>
      <c r="L47" s="88">
        <v>99092.5</v>
      </c>
      <c r="M47" s="24">
        <f t="shared" ref="M47" si="52">+IFERROR(L47/J47,"----")</f>
        <v>0.33030833333333331</v>
      </c>
      <c r="N47" s="11">
        <v>300000</v>
      </c>
      <c r="O47" s="11"/>
      <c r="P47" s="12"/>
      <c r="Q47" s="22">
        <f t="shared" ref="Q47" si="53">+IFERROR(P47/N47,"----")</f>
        <v>0</v>
      </c>
      <c r="R47" s="11">
        <v>300000</v>
      </c>
      <c r="S47" s="11"/>
      <c r="T47" s="12"/>
      <c r="U47" s="22">
        <f t="shared" ref="U47" si="54">+IFERROR(T47/R47,"----")</f>
        <v>0</v>
      </c>
      <c r="V47" s="11">
        <v>300000</v>
      </c>
      <c r="W47" s="85"/>
      <c r="X47" s="88"/>
      <c r="Y47" s="23">
        <f t="shared" ref="Y47" si="55">+IFERROR(X47/V47,"----")</f>
        <v>0</v>
      </c>
      <c r="Z47" s="16"/>
      <c r="AA47" s="30" t="s">
        <v>58</v>
      </c>
      <c r="AB47" s="11">
        <v>300000</v>
      </c>
      <c r="AC47" s="12"/>
      <c r="AD47" s="12"/>
      <c r="AE47" s="15">
        <f t="shared" ref="AE47" si="56">+IFERROR(AD47/AB47,"----")</f>
        <v>0</v>
      </c>
      <c r="AF47" s="11">
        <v>300000</v>
      </c>
      <c r="AG47" s="12"/>
      <c r="AH47" s="12"/>
      <c r="AI47" s="22">
        <f t="shared" ref="AI47" si="57">+IFERROR(AH47/AF47,"----")</f>
        <v>0</v>
      </c>
      <c r="AJ47" s="11">
        <v>300000</v>
      </c>
      <c r="AK47" s="12"/>
      <c r="AL47" s="12"/>
      <c r="AM47" s="22">
        <f t="shared" ref="AM47" si="58">+IFERROR(AL47/AJ47,"----")</f>
        <v>0</v>
      </c>
      <c r="AN47" s="11">
        <v>300000</v>
      </c>
      <c r="AO47" s="12"/>
      <c r="AP47" s="12"/>
      <c r="AQ47" s="24">
        <f t="shared" ref="AQ47" si="59">+IFERROR(AP47/AN47,"----")</f>
        <v>0</v>
      </c>
      <c r="AR47" s="11">
        <v>300000</v>
      </c>
      <c r="AS47" s="12"/>
      <c r="AT47" s="12"/>
      <c r="AU47" s="14">
        <f t="shared" ref="AU47" si="60">+IFERROR(AT47/AR47,"----")</f>
        <v>0</v>
      </c>
      <c r="AV47" s="11">
        <v>300000</v>
      </c>
      <c r="AW47" s="12"/>
      <c r="AX47" s="12"/>
      <c r="AY47" s="22">
        <f t="shared" ref="AY47" si="61">+IFERROR(AX47/AV47,"----")</f>
        <v>0</v>
      </c>
      <c r="AZ47" s="25">
        <f t="shared" ref="AZ47" si="62">B47+F47+J47+N47+R47+V47+AB47+AF47+AJ47+AN47+AR47+AV47</f>
        <v>3600000</v>
      </c>
      <c r="BA47" s="26">
        <f t="shared" ref="BA47" si="63">C47+G47+K47+O47+S47+W47+AC47+AG47+AK47+AO47+AS47+AW47</f>
        <v>332403.5</v>
      </c>
      <c r="BB47" s="12">
        <f t="shared" ref="BB47" si="64">D47+H47+L47+P47+T47+X47+AD47+AH47+AL47+AP47+AT47+AX47</f>
        <v>332403.5</v>
      </c>
      <c r="BC47" s="23">
        <f t="shared" ref="BC47" si="65">+IFERROR(BB47/AZ47,"----")</f>
        <v>9.2334305555555551E-2</v>
      </c>
    </row>
    <row r="48" spans="1:55" ht="12.75" customHeight="1" thickBot="1" x14ac:dyDescent="0.35">
      <c r="A48" s="30" t="s">
        <v>58</v>
      </c>
      <c r="B48" s="11">
        <v>50000</v>
      </c>
      <c r="C48" s="11">
        <v>50000</v>
      </c>
      <c r="D48" s="12">
        <v>32153.55</v>
      </c>
      <c r="E48" s="22">
        <f t="shared" si="45"/>
        <v>0.64307099999999995</v>
      </c>
      <c r="F48" s="11">
        <v>50000</v>
      </c>
      <c r="G48" s="12">
        <v>59733.2</v>
      </c>
      <c r="H48" s="12">
        <v>59733.2</v>
      </c>
      <c r="I48" s="22">
        <f t="shared" si="46"/>
        <v>1.1946639999999999</v>
      </c>
      <c r="J48" s="11">
        <v>100000</v>
      </c>
      <c r="K48" s="88">
        <v>50112.5</v>
      </c>
      <c r="L48" s="88">
        <v>50112.5</v>
      </c>
      <c r="M48" s="24">
        <f t="shared" si="40"/>
        <v>0.50112500000000004</v>
      </c>
      <c r="N48" s="11">
        <v>100000</v>
      </c>
      <c r="O48" s="12">
        <v>10217.35</v>
      </c>
      <c r="P48" s="12">
        <v>10217.35</v>
      </c>
      <c r="Q48" s="22">
        <f t="shared" si="41"/>
        <v>0.1021735</v>
      </c>
      <c r="R48" s="11"/>
      <c r="S48" s="11"/>
      <c r="T48" s="12"/>
      <c r="U48" s="22" t="str">
        <f t="shared" si="37"/>
        <v>----</v>
      </c>
      <c r="V48" s="11"/>
      <c r="W48" s="77"/>
      <c r="X48" s="136"/>
      <c r="Y48" s="23" t="str">
        <f t="shared" si="42"/>
        <v>----</v>
      </c>
      <c r="Z48" s="16"/>
      <c r="AA48" s="30" t="s">
        <v>58</v>
      </c>
      <c r="AB48" s="11"/>
      <c r="AC48" s="12"/>
      <c r="AD48" s="12"/>
      <c r="AE48" s="15" t="str">
        <f t="shared" si="36"/>
        <v>----</v>
      </c>
      <c r="AF48" s="11"/>
      <c r="AG48" s="12"/>
      <c r="AH48" s="12"/>
      <c r="AI48" s="22" t="str">
        <f t="shared" si="23"/>
        <v>----</v>
      </c>
      <c r="AJ48" s="11"/>
      <c r="AK48" s="12"/>
      <c r="AL48" s="12"/>
      <c r="AM48" s="22" t="str">
        <f t="shared" si="16"/>
        <v>----</v>
      </c>
      <c r="AN48" s="11"/>
      <c r="AO48" s="12"/>
      <c r="AP48" s="12"/>
      <c r="AQ48" s="24" t="str">
        <f t="shared" si="47"/>
        <v>----</v>
      </c>
      <c r="AR48" s="11"/>
      <c r="AS48" s="12"/>
      <c r="AT48" s="12"/>
      <c r="AU48" s="14" t="str">
        <f t="shared" si="48"/>
        <v>----</v>
      </c>
      <c r="AV48" s="11"/>
      <c r="AW48" s="12"/>
      <c r="AX48" s="12"/>
      <c r="AY48" s="22" t="str">
        <f t="shared" si="39"/>
        <v>----</v>
      </c>
      <c r="AZ48" s="25">
        <f t="shared" si="49"/>
        <v>300000</v>
      </c>
      <c r="BA48" s="26">
        <f t="shared" si="43"/>
        <v>170063.05000000002</v>
      </c>
      <c r="BB48" s="12">
        <f t="shared" si="44"/>
        <v>152216.6</v>
      </c>
      <c r="BC48" s="23">
        <f t="shared" si="17"/>
        <v>0.50738866666666671</v>
      </c>
    </row>
    <row r="49" spans="1:55" ht="12.75" customHeight="1" thickBot="1" x14ac:dyDescent="0.35">
      <c r="A49" s="30" t="s">
        <v>59</v>
      </c>
      <c r="B49" s="11">
        <v>30000</v>
      </c>
      <c r="C49" s="11">
        <v>30000</v>
      </c>
      <c r="D49" s="72">
        <v>50363.8</v>
      </c>
      <c r="E49" s="22">
        <f t="shared" si="45"/>
        <v>1.6787933333333334</v>
      </c>
      <c r="F49" s="11">
        <v>30000</v>
      </c>
      <c r="G49" s="12">
        <v>9190.4</v>
      </c>
      <c r="H49" s="12">
        <v>9190.4</v>
      </c>
      <c r="I49" s="22">
        <f t="shared" si="46"/>
        <v>0.30634666666666666</v>
      </c>
      <c r="J49" s="11">
        <v>50000</v>
      </c>
      <c r="K49" s="88">
        <v>21483</v>
      </c>
      <c r="L49" s="88">
        <v>21483</v>
      </c>
      <c r="M49" s="22">
        <f t="shared" si="40"/>
        <v>0.42965999999999999</v>
      </c>
      <c r="N49" s="11">
        <v>50000</v>
      </c>
      <c r="O49" s="12">
        <v>52404</v>
      </c>
      <c r="P49" s="12">
        <v>52404</v>
      </c>
      <c r="Q49" s="22">
        <f t="shared" si="41"/>
        <v>1.0480799999999999</v>
      </c>
      <c r="R49" s="11">
        <v>50000</v>
      </c>
      <c r="S49" s="11">
        <v>50000</v>
      </c>
      <c r="T49" s="12">
        <v>24835.8</v>
      </c>
      <c r="U49" s="22">
        <f t="shared" si="37"/>
        <v>0.49671599999999999</v>
      </c>
      <c r="V49" s="85">
        <v>50000</v>
      </c>
      <c r="W49" s="88">
        <v>31330.199999999997</v>
      </c>
      <c r="X49" s="88">
        <v>31330.199999999997</v>
      </c>
      <c r="Y49" s="23">
        <f t="shared" si="42"/>
        <v>0.62660399999999994</v>
      </c>
      <c r="Z49" s="16"/>
      <c r="AA49" s="30" t="s">
        <v>59</v>
      </c>
      <c r="AB49" s="11">
        <v>50000</v>
      </c>
      <c r="AC49" s="12">
        <v>30000</v>
      </c>
      <c r="AD49" s="12">
        <v>26564.999999999996</v>
      </c>
      <c r="AE49" s="15">
        <f t="shared" si="36"/>
        <v>0.53129999999999988</v>
      </c>
      <c r="AF49" s="11">
        <v>50000</v>
      </c>
      <c r="AG49" s="12">
        <v>13292.400000000001</v>
      </c>
      <c r="AH49" s="12">
        <v>13292.400000000001</v>
      </c>
      <c r="AI49" s="22">
        <f t="shared" si="23"/>
        <v>0.26584800000000003</v>
      </c>
      <c r="AJ49" s="11">
        <v>50000</v>
      </c>
      <c r="AK49" s="12">
        <v>60000</v>
      </c>
      <c r="AL49" s="12">
        <v>13219.8</v>
      </c>
      <c r="AM49" s="22">
        <f t="shared" si="16"/>
        <v>0.26439599999999996</v>
      </c>
      <c r="AN49" s="11">
        <v>50000</v>
      </c>
      <c r="AO49" s="12">
        <v>60000</v>
      </c>
      <c r="AP49" s="12"/>
      <c r="AQ49" s="24">
        <f t="shared" si="47"/>
        <v>0</v>
      </c>
      <c r="AR49" s="11">
        <v>50000</v>
      </c>
      <c r="AS49" s="12">
        <v>60000</v>
      </c>
      <c r="AT49" s="12"/>
      <c r="AU49" s="22">
        <f t="shared" si="48"/>
        <v>0</v>
      </c>
      <c r="AV49" s="11">
        <v>50000</v>
      </c>
      <c r="AW49" s="12">
        <v>60000</v>
      </c>
      <c r="AX49" s="12"/>
      <c r="AY49" s="22">
        <f t="shared" si="39"/>
        <v>0</v>
      </c>
      <c r="AZ49" s="25">
        <f t="shared" si="49"/>
        <v>560000</v>
      </c>
      <c r="BA49" s="26">
        <f t="shared" si="43"/>
        <v>477700</v>
      </c>
      <c r="BB49" s="12">
        <f t="shared" si="44"/>
        <v>242684.4</v>
      </c>
      <c r="BC49" s="23">
        <f t="shared" si="17"/>
        <v>0.433365</v>
      </c>
    </row>
    <row r="50" spans="1:55" ht="12.75" customHeight="1" thickBot="1" x14ac:dyDescent="0.35">
      <c r="A50" s="30" t="s">
        <v>60</v>
      </c>
      <c r="B50" s="11">
        <v>100000</v>
      </c>
      <c r="C50" s="85">
        <v>100000</v>
      </c>
      <c r="D50" s="86">
        <v>78440.2</v>
      </c>
      <c r="E50" s="22">
        <f t="shared" si="45"/>
        <v>0.78440199999999993</v>
      </c>
      <c r="F50" s="11">
        <v>100000</v>
      </c>
      <c r="G50" s="12">
        <v>97483.8</v>
      </c>
      <c r="H50" s="12">
        <v>97483.8</v>
      </c>
      <c r="I50" s="22">
        <f t="shared" si="46"/>
        <v>0.97483799999999998</v>
      </c>
      <c r="J50" s="11">
        <v>100000</v>
      </c>
      <c r="K50" s="84">
        <v>62319.5</v>
      </c>
      <c r="L50" s="88">
        <v>62319.5</v>
      </c>
      <c r="M50" s="22">
        <f t="shared" si="40"/>
        <v>0.62319500000000005</v>
      </c>
      <c r="N50" s="11">
        <v>100000</v>
      </c>
      <c r="O50" s="12">
        <v>84354.8</v>
      </c>
      <c r="P50" s="12">
        <v>84354.8</v>
      </c>
      <c r="Q50" s="22">
        <f t="shared" si="41"/>
        <v>0.84354800000000008</v>
      </c>
      <c r="R50" s="11">
        <v>100000</v>
      </c>
      <c r="S50" s="11">
        <v>60000</v>
      </c>
      <c r="T50" s="12">
        <v>61481.4</v>
      </c>
      <c r="U50" s="22">
        <f t="shared" si="37"/>
        <v>0.61481399999999997</v>
      </c>
      <c r="V50" s="11">
        <v>100000</v>
      </c>
      <c r="W50" s="88">
        <v>83055</v>
      </c>
      <c r="X50" s="88">
        <v>83055</v>
      </c>
      <c r="Y50" s="23">
        <f t="shared" si="42"/>
        <v>0.83055000000000001</v>
      </c>
      <c r="Z50" s="16"/>
      <c r="AA50" s="30" t="s">
        <v>60</v>
      </c>
      <c r="AB50" s="11">
        <v>100000</v>
      </c>
      <c r="AC50" s="12">
        <v>35461</v>
      </c>
      <c r="AD50" s="12">
        <v>35461</v>
      </c>
      <c r="AE50" s="15">
        <f t="shared" si="36"/>
        <v>0.35460999999999998</v>
      </c>
      <c r="AF50" s="11">
        <v>100000</v>
      </c>
      <c r="AG50" s="12">
        <v>71395</v>
      </c>
      <c r="AH50" s="12">
        <v>71395</v>
      </c>
      <c r="AI50" s="22">
        <f t="shared" si="23"/>
        <v>0.71394999999999997</v>
      </c>
      <c r="AJ50" s="11">
        <v>100000</v>
      </c>
      <c r="AK50" s="12">
        <v>100000</v>
      </c>
      <c r="AL50" s="12">
        <v>55945</v>
      </c>
      <c r="AM50" s="22">
        <f t="shared" si="16"/>
        <v>0.55945</v>
      </c>
      <c r="AN50" s="11">
        <v>100000</v>
      </c>
      <c r="AO50" s="12">
        <v>100000</v>
      </c>
      <c r="AP50" s="12"/>
      <c r="AQ50" s="24">
        <f t="shared" si="47"/>
        <v>0</v>
      </c>
      <c r="AR50" s="11">
        <v>100000</v>
      </c>
      <c r="AS50" s="12">
        <v>100000</v>
      </c>
      <c r="AT50" s="12"/>
      <c r="AU50" s="14">
        <f t="shared" si="48"/>
        <v>0</v>
      </c>
      <c r="AV50" s="11">
        <v>100000</v>
      </c>
      <c r="AW50" s="12">
        <v>100000</v>
      </c>
      <c r="AX50" s="12"/>
      <c r="AY50" s="22">
        <f t="shared" si="39"/>
        <v>0</v>
      </c>
      <c r="AZ50" s="25">
        <f t="shared" si="49"/>
        <v>1200000</v>
      </c>
      <c r="BA50" s="26">
        <f>C50+G50+K50+O50+S50+W51+AC50+AG50+AK50+AO50+AS50+AW50</f>
        <v>911014.1</v>
      </c>
      <c r="BB50" s="12">
        <f t="shared" si="44"/>
        <v>629935.69999999995</v>
      </c>
      <c r="BC50" s="23">
        <f t="shared" si="17"/>
        <v>0.52494641666666664</v>
      </c>
    </row>
    <row r="51" spans="1:55" ht="12.75" customHeight="1" thickBot="1" x14ac:dyDescent="0.35">
      <c r="A51" s="37" t="s">
        <v>61</v>
      </c>
      <c r="B51" s="11"/>
      <c r="C51" s="85"/>
      <c r="D51" s="86">
        <v>28044</v>
      </c>
      <c r="E51" s="31" t="str">
        <f t="shared" si="45"/>
        <v>----</v>
      </c>
      <c r="F51" s="11"/>
      <c r="G51" s="12">
        <v>33441.9</v>
      </c>
      <c r="H51" s="12">
        <v>33441.9</v>
      </c>
      <c r="I51" s="31" t="str">
        <f t="shared" si="46"/>
        <v>----</v>
      </c>
      <c r="J51" s="11"/>
      <c r="K51" s="84"/>
      <c r="L51" s="88"/>
      <c r="M51" s="31" t="str">
        <f t="shared" si="40"/>
        <v>----</v>
      </c>
      <c r="N51" s="11"/>
      <c r="O51" s="12">
        <v>13038</v>
      </c>
      <c r="P51" s="12">
        <v>13038</v>
      </c>
      <c r="Q51" s="32" t="str">
        <f t="shared" si="41"/>
        <v>----</v>
      </c>
      <c r="R51" s="11">
        <v>100000</v>
      </c>
      <c r="S51" s="11"/>
      <c r="T51" s="12"/>
      <c r="U51" s="32">
        <f t="shared" si="37"/>
        <v>0</v>
      </c>
      <c r="V51" s="11"/>
      <c r="W51" s="85"/>
      <c r="X51" s="88"/>
      <c r="Y51" s="33" t="str">
        <f t="shared" si="42"/>
        <v>----</v>
      </c>
      <c r="Z51" s="16"/>
      <c r="AA51" s="37" t="s">
        <v>61</v>
      </c>
      <c r="AB51" s="11">
        <v>100000</v>
      </c>
      <c r="AC51" s="12">
        <v>47268</v>
      </c>
      <c r="AD51" s="12">
        <v>47268</v>
      </c>
      <c r="AE51" s="15">
        <f t="shared" si="36"/>
        <v>0.47267999999999999</v>
      </c>
      <c r="AF51" s="11">
        <v>100000</v>
      </c>
      <c r="AG51" s="12">
        <v>54660</v>
      </c>
      <c r="AH51" s="12">
        <v>54660</v>
      </c>
      <c r="AI51" s="32">
        <f t="shared" si="23"/>
        <v>0.54659999999999997</v>
      </c>
      <c r="AJ51" s="11">
        <v>100000</v>
      </c>
      <c r="AK51" s="12"/>
      <c r="AL51" s="12"/>
      <c r="AM51" s="32">
        <f t="shared" si="16"/>
        <v>0</v>
      </c>
      <c r="AN51" s="11">
        <v>100000</v>
      </c>
      <c r="AO51" s="12"/>
      <c r="AP51" s="12"/>
      <c r="AQ51" s="34">
        <f t="shared" si="47"/>
        <v>0</v>
      </c>
      <c r="AR51" s="11">
        <v>100000</v>
      </c>
      <c r="AS51" s="12"/>
      <c r="AT51" s="12"/>
      <c r="AU51" s="27">
        <f t="shared" si="48"/>
        <v>0</v>
      </c>
      <c r="AV51" s="11">
        <v>100000</v>
      </c>
      <c r="AW51" s="12"/>
      <c r="AX51" s="12"/>
      <c r="AY51" s="32">
        <f t="shared" si="39"/>
        <v>0</v>
      </c>
      <c r="AZ51" s="35">
        <f t="shared" si="49"/>
        <v>700000</v>
      </c>
      <c r="BA51" s="26">
        <f>C51+G51+K51+O51+S51+W52+AC51+AG51+AK51+AO51+AS51+AW51</f>
        <v>182183.4</v>
      </c>
      <c r="BB51" s="12">
        <f t="shared" si="44"/>
        <v>176451.9</v>
      </c>
      <c r="BC51" s="33">
        <f t="shared" si="17"/>
        <v>0.25207414285714286</v>
      </c>
    </row>
    <row r="52" spans="1:55" ht="12.75" customHeight="1" thickBot="1" x14ac:dyDescent="0.35">
      <c r="A52" s="20" t="s">
        <v>62</v>
      </c>
      <c r="B52" s="11">
        <v>50000</v>
      </c>
      <c r="C52" s="86">
        <v>41387.5</v>
      </c>
      <c r="D52" s="86">
        <v>41387.5</v>
      </c>
      <c r="E52" s="24">
        <f t="shared" si="45"/>
        <v>0.82774999999999999</v>
      </c>
      <c r="F52" s="11">
        <v>50000</v>
      </c>
      <c r="G52" s="12">
        <v>12875.5</v>
      </c>
      <c r="H52" s="12">
        <v>12875.5</v>
      </c>
      <c r="I52" s="24">
        <f t="shared" si="46"/>
        <v>0.25751000000000002</v>
      </c>
      <c r="J52" s="11">
        <v>60000</v>
      </c>
      <c r="K52" s="88">
        <v>52008</v>
      </c>
      <c r="L52" s="88">
        <v>52008</v>
      </c>
      <c r="M52" s="24">
        <f t="shared" si="40"/>
        <v>0.86680000000000001</v>
      </c>
      <c r="N52" s="11">
        <v>60000</v>
      </c>
      <c r="O52" s="12">
        <v>68805</v>
      </c>
      <c r="P52" s="12">
        <v>68805</v>
      </c>
      <c r="Q52" s="22">
        <f t="shared" si="41"/>
        <v>1.1467499999999999</v>
      </c>
      <c r="R52" s="11">
        <v>60000</v>
      </c>
      <c r="S52" s="11"/>
      <c r="T52" s="12"/>
      <c r="U52" s="22">
        <f t="shared" si="37"/>
        <v>0</v>
      </c>
      <c r="V52" s="11">
        <v>60000</v>
      </c>
      <c r="W52" s="88">
        <v>33775.5</v>
      </c>
      <c r="X52" s="88">
        <v>33775.5</v>
      </c>
      <c r="Y52" s="23">
        <f t="shared" si="42"/>
        <v>0.56292500000000001</v>
      </c>
      <c r="Z52" s="16"/>
      <c r="AA52" s="20" t="s">
        <v>62</v>
      </c>
      <c r="AB52" s="11">
        <v>60000</v>
      </c>
      <c r="AC52" s="12">
        <v>60000</v>
      </c>
      <c r="AD52" s="12">
        <v>59543</v>
      </c>
      <c r="AE52" s="15">
        <f t="shared" si="36"/>
        <v>0.99238333333333328</v>
      </c>
      <c r="AF52" s="11">
        <v>60000</v>
      </c>
      <c r="AG52" s="12">
        <v>53377.5</v>
      </c>
      <c r="AH52" s="12">
        <v>53377.5</v>
      </c>
      <c r="AI52" s="22">
        <f t="shared" si="23"/>
        <v>0.889625</v>
      </c>
      <c r="AJ52" s="11">
        <v>60000</v>
      </c>
      <c r="AK52" s="12">
        <v>60000</v>
      </c>
      <c r="AL52" s="12">
        <v>40254.5</v>
      </c>
      <c r="AM52" s="22">
        <f t="shared" si="16"/>
        <v>0.67090833333333333</v>
      </c>
      <c r="AN52" s="11">
        <v>60000</v>
      </c>
      <c r="AO52" s="12">
        <v>60000</v>
      </c>
      <c r="AP52" s="12"/>
      <c r="AQ52" s="24">
        <f t="shared" si="47"/>
        <v>0</v>
      </c>
      <c r="AR52" s="11">
        <v>60000</v>
      </c>
      <c r="AS52" s="12">
        <v>60000</v>
      </c>
      <c r="AT52" s="12"/>
      <c r="AU52" s="14">
        <f t="shared" si="48"/>
        <v>0</v>
      </c>
      <c r="AV52" s="11">
        <v>60000</v>
      </c>
      <c r="AW52" s="12">
        <v>60000</v>
      </c>
      <c r="AX52" s="12"/>
      <c r="AY52" s="22">
        <f t="shared" si="39"/>
        <v>0</v>
      </c>
      <c r="AZ52" s="25">
        <f t="shared" si="49"/>
        <v>700000</v>
      </c>
      <c r="BA52" s="26">
        <f t="shared" si="43"/>
        <v>562229</v>
      </c>
      <c r="BB52" s="12">
        <f t="shared" si="44"/>
        <v>362026.5</v>
      </c>
      <c r="BC52" s="23">
        <f t="shared" si="17"/>
        <v>0.51718071428571433</v>
      </c>
    </row>
    <row r="53" spans="1:55" ht="12.75" customHeight="1" thickBot="1" x14ac:dyDescent="0.35">
      <c r="A53" s="20" t="s">
        <v>63</v>
      </c>
      <c r="B53" s="11">
        <v>30000</v>
      </c>
      <c r="C53" s="84">
        <v>38382.5</v>
      </c>
      <c r="D53" s="86">
        <v>38382.5</v>
      </c>
      <c r="E53" s="24">
        <f t="shared" si="45"/>
        <v>1.2794166666666666</v>
      </c>
      <c r="F53" s="11">
        <v>30000</v>
      </c>
      <c r="G53" s="12">
        <v>42406</v>
      </c>
      <c r="H53" s="12">
        <v>42406</v>
      </c>
      <c r="I53" s="24">
        <f t="shared" si="46"/>
        <v>1.4135333333333333</v>
      </c>
      <c r="J53" s="11">
        <v>30000</v>
      </c>
      <c r="K53" s="84">
        <v>78929.5</v>
      </c>
      <c r="L53" s="88">
        <v>78929.5</v>
      </c>
      <c r="M53" s="24">
        <f t="shared" si="40"/>
        <v>2.6309833333333335</v>
      </c>
      <c r="N53" s="11">
        <v>30000</v>
      </c>
      <c r="O53" s="12">
        <v>40891.5</v>
      </c>
      <c r="P53" s="12">
        <v>40891.5</v>
      </c>
      <c r="Q53" s="22">
        <f t="shared" si="41"/>
        <v>1.3630500000000001</v>
      </c>
      <c r="R53" s="11">
        <v>30000</v>
      </c>
      <c r="S53" s="11">
        <v>80775.5</v>
      </c>
      <c r="T53" s="12">
        <v>80775.5</v>
      </c>
      <c r="U53" s="22">
        <f t="shared" si="37"/>
        <v>2.6925166666666667</v>
      </c>
      <c r="V53" s="11">
        <v>30000</v>
      </c>
      <c r="W53" s="88">
        <v>41203.5</v>
      </c>
      <c r="X53" s="88">
        <v>41203.5</v>
      </c>
      <c r="Y53" s="23">
        <f t="shared" si="42"/>
        <v>1.3734500000000001</v>
      </c>
      <c r="Z53" s="16"/>
      <c r="AA53" s="20" t="s">
        <v>63</v>
      </c>
      <c r="AB53" s="11">
        <v>30000</v>
      </c>
      <c r="AC53" s="12">
        <v>39182</v>
      </c>
      <c r="AD53" s="12">
        <v>39182</v>
      </c>
      <c r="AE53" s="15">
        <f t="shared" si="36"/>
        <v>1.3060666666666667</v>
      </c>
      <c r="AF53" s="11">
        <v>30000</v>
      </c>
      <c r="AG53" s="12">
        <v>82400.5</v>
      </c>
      <c r="AH53" s="12">
        <v>82400.5</v>
      </c>
      <c r="AI53" s="22">
        <f t="shared" si="23"/>
        <v>2.7466833333333334</v>
      </c>
      <c r="AJ53" s="11">
        <v>30000</v>
      </c>
      <c r="AK53" s="12">
        <v>41899</v>
      </c>
      <c r="AL53" s="12">
        <v>41899</v>
      </c>
      <c r="AM53" s="22">
        <f t="shared" si="16"/>
        <v>1.3966333333333334</v>
      </c>
      <c r="AN53" s="11">
        <v>30000</v>
      </c>
      <c r="AO53" s="12">
        <v>30000</v>
      </c>
      <c r="AP53" s="12"/>
      <c r="AQ53" s="24">
        <f t="shared" si="47"/>
        <v>0</v>
      </c>
      <c r="AR53" s="11">
        <v>30000</v>
      </c>
      <c r="AS53" s="12">
        <v>30000</v>
      </c>
      <c r="AT53" s="12"/>
      <c r="AU53" s="24">
        <f t="shared" si="48"/>
        <v>0</v>
      </c>
      <c r="AV53" s="11">
        <v>30000</v>
      </c>
      <c r="AW53" s="12">
        <v>30000</v>
      </c>
      <c r="AX53" s="12"/>
      <c r="AY53" s="22">
        <f t="shared" si="39"/>
        <v>0</v>
      </c>
      <c r="AZ53" s="25">
        <f t="shared" si="49"/>
        <v>360000</v>
      </c>
      <c r="BA53" s="26">
        <f t="shared" si="43"/>
        <v>576070</v>
      </c>
      <c r="BB53" s="12">
        <f t="shared" si="44"/>
        <v>486070</v>
      </c>
      <c r="BC53" s="23">
        <f t="shared" si="17"/>
        <v>1.3501944444444445</v>
      </c>
    </row>
    <row r="54" spans="1:55" s="110" customFormat="1" ht="12.75" customHeight="1" thickBot="1" x14ac:dyDescent="0.35">
      <c r="A54" s="99" t="s">
        <v>64</v>
      </c>
      <c r="B54" s="11">
        <v>1000000</v>
      </c>
      <c r="C54" s="85">
        <v>800000</v>
      </c>
      <c r="D54" s="86">
        <f>926255.05-188491.98</f>
        <v>737763.07000000007</v>
      </c>
      <c r="E54" s="101">
        <f t="shared" si="45"/>
        <v>0.73776307000000008</v>
      </c>
      <c r="F54" s="100">
        <v>1000000</v>
      </c>
      <c r="G54" s="12">
        <f>303419.3+588556.7-922.17</f>
        <v>891053.83</v>
      </c>
      <c r="H54" s="12">
        <f>303419.3+588556.7-922.17</f>
        <v>891053.83</v>
      </c>
      <c r="I54" s="101">
        <f t="shared" si="46"/>
        <v>0.89105382999999994</v>
      </c>
      <c r="J54" s="11">
        <v>1000000</v>
      </c>
      <c r="K54" s="88">
        <f>115915.3+596450.81-9573.58</f>
        <v>702792.53000000014</v>
      </c>
      <c r="L54" s="88">
        <f>115915.3+596450.81-9573.58</f>
        <v>702792.53000000014</v>
      </c>
      <c r="M54" s="101">
        <f t="shared" si="40"/>
        <v>0.70279253000000019</v>
      </c>
      <c r="N54" s="12">
        <v>1000000</v>
      </c>
      <c r="O54" s="12">
        <f>167196.45+595326.95-11751.49</f>
        <v>750771.90999999992</v>
      </c>
      <c r="P54" s="12">
        <f>167196.45+595326.95-11751.49</f>
        <v>750771.90999999992</v>
      </c>
      <c r="Q54" s="102">
        <f t="shared" si="41"/>
        <v>0.75077190999999988</v>
      </c>
      <c r="R54" s="12">
        <v>1000000</v>
      </c>
      <c r="S54" s="12">
        <f>128439.45+387145.86+10317.59</f>
        <v>525902.9</v>
      </c>
      <c r="T54" s="12">
        <f>128439.45+387145.86+10317.59</f>
        <v>525902.9</v>
      </c>
      <c r="U54" s="102">
        <f t="shared" si="37"/>
        <v>0.52590290000000006</v>
      </c>
      <c r="V54" s="100">
        <v>1000000</v>
      </c>
      <c r="W54" s="142">
        <f>112691.43+1081346.15-27405.7</f>
        <v>1166631.8799999999</v>
      </c>
      <c r="X54" s="142">
        <f>112691.43+1081346.15-27405.7</f>
        <v>1166631.8799999999</v>
      </c>
      <c r="Y54" s="103">
        <f t="shared" si="42"/>
        <v>1.16663188</v>
      </c>
      <c r="Z54" s="104"/>
      <c r="AA54" s="99" t="s">
        <v>87</v>
      </c>
      <c r="AB54" s="100">
        <v>1000000</v>
      </c>
      <c r="AC54" s="100">
        <v>1328169.82</v>
      </c>
      <c r="AD54" s="100">
        <f>131767.2+1196402.62</f>
        <v>1328169.82</v>
      </c>
      <c r="AE54" s="105">
        <f t="shared" si="36"/>
        <v>1.3281698200000001</v>
      </c>
      <c r="AF54" s="100">
        <v>1000000</v>
      </c>
      <c r="AG54" s="100">
        <f>65657.5+1147903</f>
        <v>1213560.5</v>
      </c>
      <c r="AH54" s="100">
        <f>106867.9+1195349.03-158</f>
        <v>1302058.93</v>
      </c>
      <c r="AI54" s="102">
        <f t="shared" si="23"/>
        <v>1.3020589299999998</v>
      </c>
      <c r="AJ54" s="100">
        <v>1000000</v>
      </c>
      <c r="AK54" s="100">
        <v>1300000</v>
      </c>
      <c r="AL54" s="100">
        <f>81848.65+824658.75-3402+130946.04</f>
        <v>1034051.4400000001</v>
      </c>
      <c r="AM54" s="102">
        <f t="shared" si="16"/>
        <v>1.03405144</v>
      </c>
      <c r="AN54" s="100">
        <v>1000000</v>
      </c>
      <c r="AO54" s="100">
        <v>1500000</v>
      </c>
      <c r="AP54" s="100"/>
      <c r="AQ54" s="106">
        <f t="shared" si="47"/>
        <v>0</v>
      </c>
      <c r="AR54" s="100">
        <v>1000000</v>
      </c>
      <c r="AS54" s="100">
        <v>1500000</v>
      </c>
      <c r="AT54" s="100"/>
      <c r="AU54" s="107">
        <f t="shared" si="48"/>
        <v>0</v>
      </c>
      <c r="AV54" s="100">
        <v>1000000</v>
      </c>
      <c r="AW54" s="100">
        <v>1500000</v>
      </c>
      <c r="AX54" s="100"/>
      <c r="AY54" s="102">
        <f t="shared" si="39"/>
        <v>0</v>
      </c>
      <c r="AZ54" s="108">
        <f t="shared" si="49"/>
        <v>12000000</v>
      </c>
      <c r="BA54" s="109">
        <f t="shared" si="43"/>
        <v>13178883.370000001</v>
      </c>
      <c r="BB54" s="100">
        <f t="shared" si="44"/>
        <v>8439196.3099999987</v>
      </c>
      <c r="BC54" s="103">
        <f t="shared" si="17"/>
        <v>0.70326635916666658</v>
      </c>
    </row>
    <row r="55" spans="1:55" ht="12" customHeight="1" thickBot="1" x14ac:dyDescent="0.35">
      <c r="A55" s="96" t="s">
        <v>65</v>
      </c>
      <c r="B55" s="11">
        <v>250000</v>
      </c>
      <c r="C55" s="85">
        <v>150000</v>
      </c>
      <c r="D55" s="86">
        <v>126793.65999999996</v>
      </c>
      <c r="E55" s="111">
        <f>+IFERROR(D55/B55,"----")</f>
        <v>0.50717463999999979</v>
      </c>
      <c r="F55" s="11">
        <v>250000</v>
      </c>
      <c r="G55" s="12">
        <v>191859.67999999996</v>
      </c>
      <c r="H55" s="12">
        <v>191859.67999999996</v>
      </c>
      <c r="I55" s="31">
        <f t="shared" si="46"/>
        <v>0.76743871999999991</v>
      </c>
      <c r="J55" s="12">
        <v>500000</v>
      </c>
      <c r="K55" s="88">
        <v>180509.44999999998</v>
      </c>
      <c r="L55" s="88">
        <v>180509.44999999998</v>
      </c>
      <c r="M55" s="31">
        <f t="shared" si="40"/>
        <v>0.36101889999999998</v>
      </c>
      <c r="N55" s="11">
        <v>500000</v>
      </c>
      <c r="O55" s="12">
        <v>174777.97999999998</v>
      </c>
      <c r="P55" s="12">
        <v>174777.97999999998</v>
      </c>
      <c r="Q55" s="32">
        <f t="shared" si="41"/>
        <v>0.34955595999999994</v>
      </c>
      <c r="R55" s="11">
        <v>500000</v>
      </c>
      <c r="S55" s="126">
        <v>150000</v>
      </c>
      <c r="T55" s="83">
        <v>122726.98999999998</v>
      </c>
      <c r="U55" s="32">
        <f t="shared" si="37"/>
        <v>0.24545397999999996</v>
      </c>
      <c r="V55" s="11">
        <v>500000</v>
      </c>
      <c r="W55" s="77">
        <v>200000</v>
      </c>
      <c r="X55" s="88">
        <v>161951.15000000002</v>
      </c>
      <c r="Y55" s="33">
        <f>+IFERROR(X55/V55,"----")</f>
        <v>0.32390230000000003</v>
      </c>
      <c r="Z55" s="16"/>
      <c r="AA55" s="29" t="s">
        <v>65</v>
      </c>
      <c r="AB55" s="11">
        <v>500000</v>
      </c>
      <c r="AC55" s="12">
        <v>201849.83</v>
      </c>
      <c r="AD55" s="12">
        <v>201849.83</v>
      </c>
      <c r="AE55" s="15">
        <f>+IFERROR(AD55/AB55,"----")</f>
        <v>0.40369965999999996</v>
      </c>
      <c r="AF55" s="11">
        <v>500000</v>
      </c>
      <c r="AG55" s="12">
        <v>175141.40000000005</v>
      </c>
      <c r="AH55" s="12">
        <v>175141.40000000005</v>
      </c>
      <c r="AI55" s="32">
        <f t="shared" si="23"/>
        <v>0.35028280000000012</v>
      </c>
      <c r="AJ55" s="11">
        <v>500000</v>
      </c>
      <c r="AK55" s="11">
        <v>200000</v>
      </c>
      <c r="AL55" s="12">
        <v>131124.6</v>
      </c>
      <c r="AM55" s="32">
        <f t="shared" si="16"/>
        <v>0.26224920000000002</v>
      </c>
      <c r="AN55" s="11">
        <v>500000</v>
      </c>
      <c r="AO55" s="11">
        <v>300000</v>
      </c>
      <c r="AP55" s="12"/>
      <c r="AQ55" s="34">
        <f t="shared" si="47"/>
        <v>0</v>
      </c>
      <c r="AR55" s="11">
        <v>500000</v>
      </c>
      <c r="AS55" s="11">
        <v>300000</v>
      </c>
      <c r="AT55" s="12"/>
      <c r="AU55" s="22">
        <f t="shared" si="48"/>
        <v>0</v>
      </c>
      <c r="AV55" s="11">
        <v>500000</v>
      </c>
      <c r="AW55" s="11">
        <v>300000</v>
      </c>
      <c r="AX55" s="12"/>
      <c r="AY55" s="32">
        <f t="shared" si="39"/>
        <v>0</v>
      </c>
      <c r="AZ55" s="35">
        <f t="shared" si="49"/>
        <v>5500000</v>
      </c>
      <c r="BA55" s="36">
        <f>C55+G55+K55+O55+S55+W55+AC55+AG55+AK55+AO55+AS55+AW55</f>
        <v>2524138.34</v>
      </c>
      <c r="BB55" s="12">
        <f>D55+H55+L55+P55+T55+X55+AD56+AH55+AL55+AP55+AT55+AX55</f>
        <v>1368851.5100000002</v>
      </c>
      <c r="BC55" s="33">
        <f t="shared" si="17"/>
        <v>0.24888209272727277</v>
      </c>
    </row>
    <row r="56" spans="1:55" ht="42.6" customHeight="1" thickBot="1" x14ac:dyDescent="0.35">
      <c r="A56" s="129" t="s">
        <v>114</v>
      </c>
      <c r="B56" s="78">
        <v>500000</v>
      </c>
      <c r="C56" s="87">
        <v>10601.5</v>
      </c>
      <c r="D56" s="87">
        <v>10601.5</v>
      </c>
      <c r="E56" s="119"/>
      <c r="F56" s="78">
        <v>500000</v>
      </c>
      <c r="G56" s="72">
        <v>50454.1</v>
      </c>
      <c r="H56" s="72">
        <v>50454.1</v>
      </c>
      <c r="I56" s="58"/>
      <c r="J56" s="77">
        <v>100000</v>
      </c>
      <c r="K56" s="125">
        <v>79677.200000000012</v>
      </c>
      <c r="L56" s="125">
        <v>79677.200000000012</v>
      </c>
      <c r="M56" s="58">
        <f t="shared" si="40"/>
        <v>0.79677200000000015</v>
      </c>
      <c r="N56" s="77">
        <v>100000</v>
      </c>
      <c r="O56" s="78">
        <v>37719.9</v>
      </c>
      <c r="P56" s="78">
        <v>37719.9</v>
      </c>
      <c r="Q56" s="44"/>
      <c r="R56" s="77">
        <v>100000</v>
      </c>
      <c r="S56" s="86">
        <f>149156+138833.7</f>
        <v>287989.7</v>
      </c>
      <c r="T56" s="86">
        <f>149156+138833.7</f>
        <v>287989.7</v>
      </c>
      <c r="U56" s="32">
        <f t="shared" si="37"/>
        <v>2.8798970000000002</v>
      </c>
      <c r="V56" s="77">
        <v>100000</v>
      </c>
      <c r="W56" s="88">
        <f>142500+16223.4</f>
        <v>158723.4</v>
      </c>
      <c r="X56" s="88">
        <f>142500+16223.4</f>
        <v>158723.4</v>
      </c>
      <c r="Y56" s="33">
        <f>+IFERROR(X56/V56,"----")</f>
        <v>1.587234</v>
      </c>
      <c r="Z56" s="16"/>
      <c r="AA56" s="76" t="s">
        <v>88</v>
      </c>
      <c r="AB56" s="78">
        <v>100000</v>
      </c>
      <c r="AC56" s="72">
        <f>44913.2+59053.4</f>
        <v>103966.6</v>
      </c>
      <c r="AD56" s="72">
        <f>44913.2+59053.4</f>
        <v>103966.6</v>
      </c>
      <c r="AE56" s="15">
        <f>+IFERROR(AD56/AB56,"----")</f>
        <v>1.039666</v>
      </c>
      <c r="AF56" s="78">
        <v>100000</v>
      </c>
      <c r="AG56" s="72">
        <f>4727.7+318436.6</f>
        <v>323164.3</v>
      </c>
      <c r="AH56" s="72">
        <f>4727.7+318436.6</f>
        <v>323164.3</v>
      </c>
      <c r="AI56" s="32">
        <f t="shared" si="23"/>
        <v>3.231643</v>
      </c>
      <c r="AJ56" s="78">
        <v>100000</v>
      </c>
      <c r="AK56" s="79">
        <v>100000</v>
      </c>
      <c r="AL56" s="72">
        <v>41372.199999999997</v>
      </c>
      <c r="AM56" s="44"/>
      <c r="AN56" s="78">
        <v>100000</v>
      </c>
      <c r="AO56" s="79">
        <v>100000</v>
      </c>
      <c r="AP56" s="72"/>
      <c r="AQ56" s="34">
        <f t="shared" si="47"/>
        <v>0</v>
      </c>
      <c r="AR56" s="78">
        <v>100000</v>
      </c>
      <c r="AS56" s="79">
        <v>100000</v>
      </c>
      <c r="AT56" s="72"/>
      <c r="AU56" s="14">
        <f t="shared" si="48"/>
        <v>0</v>
      </c>
      <c r="AV56" s="78">
        <v>100000</v>
      </c>
      <c r="AW56" s="79">
        <v>100000</v>
      </c>
      <c r="AX56" s="72"/>
      <c r="AY56" s="32">
        <f t="shared" si="39"/>
        <v>0</v>
      </c>
      <c r="AZ56" s="81">
        <f>B56+F56+J56+N56+R56+V56+AB56+AF56+AJ56+AN56+AR56+AV56</f>
        <v>2000000</v>
      </c>
      <c r="BA56" s="82">
        <f>C56+G56+K56+O56+S56+W56+AC56+AG56+AK56+AO56+AS56+AW56</f>
        <v>1452296.7</v>
      </c>
      <c r="BB56" s="12">
        <f>D56+H56+L56+P56+T56+X56+AD57+AH56+AL56+AP56+AT56+AX56</f>
        <v>989702.3</v>
      </c>
      <c r="BC56" s="33">
        <f t="shared" si="17"/>
        <v>0.49485115000000002</v>
      </c>
    </row>
    <row r="57" spans="1:55" ht="12" customHeight="1" thickBot="1" x14ac:dyDescent="0.35">
      <c r="A57" s="98" t="s">
        <v>107</v>
      </c>
      <c r="B57" s="77"/>
      <c r="C57" s="112"/>
      <c r="D57" s="46"/>
      <c r="E57" s="58"/>
      <c r="F57" s="77">
        <v>12000000</v>
      </c>
      <c r="G57" s="79"/>
      <c r="H57" s="72"/>
      <c r="I57" s="58"/>
      <c r="J57" s="77">
        <v>12500000</v>
      </c>
      <c r="K57" s="46">
        <v>648042.75</v>
      </c>
      <c r="L57" s="46">
        <v>648042.75</v>
      </c>
      <c r="M57" s="58">
        <f t="shared" si="40"/>
        <v>5.1843420000000001E-2</v>
      </c>
      <c r="N57" s="77">
        <v>12000000</v>
      </c>
      <c r="O57" s="78"/>
      <c r="P57" s="78"/>
      <c r="Q57" s="44"/>
      <c r="R57" s="77">
        <v>12000000</v>
      </c>
      <c r="S57" s="86">
        <v>240568.30999999997</v>
      </c>
      <c r="T57" s="86">
        <v>240568.30999999997</v>
      </c>
      <c r="U57" s="44"/>
      <c r="V57" s="77">
        <v>12000000</v>
      </c>
      <c r="W57" s="112"/>
      <c r="X57" s="46"/>
      <c r="Y57" s="45"/>
      <c r="Z57" s="16"/>
      <c r="AA57" s="98" t="s">
        <v>93</v>
      </c>
      <c r="AB57" s="77">
        <v>12000000</v>
      </c>
      <c r="AC57" s="79"/>
      <c r="AD57" s="72"/>
      <c r="AE57" s="15">
        <f t="shared" ref="AE57" si="66">+IFERROR(AD57/AB57,"----")</f>
        <v>0</v>
      </c>
      <c r="AF57" s="77"/>
      <c r="AG57" s="79"/>
      <c r="AH57" s="72"/>
      <c r="AI57" s="32" t="str">
        <f t="shared" ref="AI57" si="67">+IFERROR(AH57/AF57,"----")</f>
        <v>----</v>
      </c>
      <c r="AJ57" s="77">
        <v>12000000</v>
      </c>
      <c r="AK57" s="79"/>
      <c r="AL57" s="72"/>
      <c r="AM57" s="44"/>
      <c r="AN57" s="77"/>
      <c r="AO57" s="79"/>
      <c r="AP57" s="72"/>
      <c r="AQ57" s="34" t="str">
        <f t="shared" ref="AQ57" si="68">+IFERROR(AP57/AN57,"----")</f>
        <v>----</v>
      </c>
      <c r="AR57" s="77"/>
      <c r="AS57" s="79"/>
      <c r="AT57" s="72"/>
      <c r="AU57" s="14" t="str">
        <f t="shared" ref="AU57" si="69">+IFERROR(AT57/AR57,"----")</f>
        <v>----</v>
      </c>
      <c r="AV57" s="77"/>
      <c r="AW57" s="79"/>
      <c r="AX57" s="72"/>
      <c r="AY57" s="32" t="str">
        <f t="shared" ref="AY57" si="70">+IFERROR(AX57/AV57,"----")</f>
        <v>----</v>
      </c>
      <c r="AZ57" s="81"/>
      <c r="BA57" s="82"/>
      <c r="BB57" s="72"/>
      <c r="BC57" s="45"/>
    </row>
    <row r="58" spans="1:55" ht="31.2" customHeight="1" thickBot="1" x14ac:dyDescent="0.35">
      <c r="A58" s="115" t="s">
        <v>66</v>
      </c>
      <c r="B58" s="116">
        <f>SUM(B6:B57)</f>
        <v>15640000</v>
      </c>
      <c r="C58" s="117">
        <f>SUM(C6:C57)</f>
        <v>12130439.789999999</v>
      </c>
      <c r="D58" s="118">
        <f>+SUM(D6:D57)</f>
        <v>12061304.150000002</v>
      </c>
      <c r="E58" s="41">
        <f>+IFERROR(D58/B58,"----")</f>
        <v>0.7711831297953966</v>
      </c>
      <c r="F58" s="120">
        <f>SUM(F6:F57)</f>
        <v>25990000</v>
      </c>
      <c r="G58" s="121">
        <f>SUM(G6:G57)</f>
        <v>10090569.989999998</v>
      </c>
      <c r="H58" s="121">
        <f>+SUM(H6:H57)</f>
        <v>10090569.989999998</v>
      </c>
      <c r="I58" s="41">
        <f>+IFERROR(H58/F58,"----")</f>
        <v>0.38824817198922656</v>
      </c>
      <c r="J58" s="122">
        <f>SUM(J6:J57)</f>
        <v>25180000</v>
      </c>
      <c r="K58" s="120">
        <f>+SUM(K6:K57)</f>
        <v>13632078.249999998</v>
      </c>
      <c r="L58" s="124">
        <f>+SUM(L6:L57)</f>
        <v>13632078.249999998</v>
      </c>
      <c r="M58" s="41">
        <f>+IFERROR(L58/J58,"----")</f>
        <v>0.54138515687053212</v>
      </c>
      <c r="N58" s="120">
        <f>SUM(N6:N57)</f>
        <v>25180000</v>
      </c>
      <c r="O58" s="122">
        <f>SUM(O6:O55)</f>
        <v>11152308.920300003</v>
      </c>
      <c r="P58" s="122">
        <f>SUM(P6:P57)</f>
        <v>11190028.820300004</v>
      </c>
      <c r="Q58" s="42">
        <f>+IFERROR(P58/N58,"----")</f>
        <v>0.44440146228355853</v>
      </c>
      <c r="R58" s="122">
        <f>SUM(R6:R57)</f>
        <v>25600000</v>
      </c>
      <c r="S58" s="127">
        <f>SUM(S6:S57)</f>
        <v>10607222.68</v>
      </c>
      <c r="T58" s="128">
        <f>+SUM(T6:T57)</f>
        <v>10389285.170000002</v>
      </c>
      <c r="U58" s="42">
        <f>+IFERROR(T58/R58,"----")</f>
        <v>0.40583145195312509</v>
      </c>
      <c r="V58" s="131">
        <f>SUM(V6:V57)</f>
        <v>25400000</v>
      </c>
      <c r="W58" s="131">
        <f>+SUM(W6:W56)</f>
        <v>10052977.390000002</v>
      </c>
      <c r="X58" s="143">
        <f>+SUM(X6:X56)</f>
        <v>9942527.6400000006</v>
      </c>
      <c r="Y58" s="43">
        <f>+IFERROR(X58/V58,"----")</f>
        <v>0.39143809606299212</v>
      </c>
      <c r="Z58" s="16"/>
      <c r="AA58" s="39" t="s">
        <v>66</v>
      </c>
      <c r="AB58" s="120">
        <f>SUM(AB6:AB57)</f>
        <v>25500000</v>
      </c>
      <c r="AC58" s="120">
        <f>SUM(AC6:AC57)</f>
        <v>14612261.290000001</v>
      </c>
      <c r="AD58" s="142">
        <f>SUM(AD6:AD56)</f>
        <v>14480068.790000001</v>
      </c>
      <c r="AE58" s="15">
        <f t="shared" si="36"/>
        <v>0.56784583490196083</v>
      </c>
      <c r="AF58" s="89">
        <f>+SUM(AF6:AF57)</f>
        <v>13500000</v>
      </c>
      <c r="AG58" s="89">
        <f>SUM(AG6:AG57)</f>
        <v>14276664.816150002</v>
      </c>
      <c r="AH58" s="89">
        <f>+SUM(AH6:AH56)</f>
        <v>14377580.046150003</v>
      </c>
      <c r="AI58" s="44">
        <f t="shared" si="23"/>
        <v>1.0650059293444447</v>
      </c>
      <c r="AJ58" s="90">
        <f>SUM(AJ5:AJ57)</f>
        <v>25500000</v>
      </c>
      <c r="AK58" s="90">
        <f>SUM(AK6:AK57)</f>
        <v>18239859.98</v>
      </c>
      <c r="AL58" s="90">
        <f>SUM(AL6:AL56)</f>
        <v>11810487.760000002</v>
      </c>
      <c r="AM58" s="44">
        <f>+IFERROR(AL58/AJ58,"----")</f>
        <v>0.46315638274509813</v>
      </c>
      <c r="AN58" s="89">
        <f>+SUM(AN6:AN56)</f>
        <v>13500000</v>
      </c>
      <c r="AO58" s="89">
        <f>+SUM(AO6:AO56)</f>
        <v>14980000</v>
      </c>
      <c r="AP58" s="89">
        <f>+SUM(AP6:AP56)</f>
        <v>0</v>
      </c>
      <c r="AQ58" s="44">
        <f t="shared" si="47"/>
        <v>0</v>
      </c>
      <c r="AR58" s="90">
        <f>+SUM(AR5:AR56)</f>
        <v>13500000</v>
      </c>
      <c r="AS58" s="90">
        <f>+SUM(AS5:AS56)</f>
        <v>16680000</v>
      </c>
      <c r="AT58" s="92">
        <f>SUM(AT6:AT56)</f>
        <v>0</v>
      </c>
      <c r="AU58" s="91">
        <f t="shared" si="48"/>
        <v>0</v>
      </c>
      <c r="AV58" s="93">
        <f>+SUM(AV6:AV56)</f>
        <v>13500000</v>
      </c>
      <c r="AW58" s="94">
        <f>+SUM(AW6:AW56)</f>
        <v>18380000</v>
      </c>
      <c r="AX58" s="95">
        <f>SUM(AX6:AX56)</f>
        <v>0</v>
      </c>
      <c r="AY58" s="44">
        <f>+IFERROR([1]ตามลูกค้า!H6/AV58,"----")</f>
        <v>0</v>
      </c>
      <c r="AZ58" s="38">
        <f>+SUM(AZ5:AZ56)</f>
        <v>163520000</v>
      </c>
      <c r="BA58" s="38">
        <f>+SUM(BA5:BA56)</f>
        <v>163934212.44645002</v>
      </c>
      <c r="BB58" s="38">
        <f>+SUM(BB5:BB56)</f>
        <v>106753841.72645003</v>
      </c>
      <c r="BC58" s="45">
        <f t="shared" si="17"/>
        <v>0.65284883638973845</v>
      </c>
    </row>
    <row r="59" spans="1:55" ht="12.75" customHeight="1" thickBot="1" x14ac:dyDescent="0.35">
      <c r="AC59" s="46"/>
      <c r="AJ59" s="154" t="s">
        <v>9</v>
      </c>
      <c r="AK59" s="155"/>
      <c r="AL59" s="155"/>
      <c r="AM59" s="156"/>
      <c r="AT59" s="46"/>
    </row>
    <row r="60" spans="1:55" ht="12.75" customHeight="1" thickBot="1" x14ac:dyDescent="0.35">
      <c r="A60" s="152" t="s">
        <v>96</v>
      </c>
      <c r="B60" s="154" t="s">
        <v>68</v>
      </c>
      <c r="C60" s="155"/>
      <c r="D60" s="155"/>
      <c r="E60" s="156"/>
      <c r="F60" s="154" t="s">
        <v>2</v>
      </c>
      <c r="G60" s="155"/>
      <c r="H60" s="155"/>
      <c r="I60" s="156"/>
      <c r="J60" s="154" t="s">
        <v>3</v>
      </c>
      <c r="K60" s="155"/>
      <c r="L60" s="155"/>
      <c r="M60" s="156"/>
      <c r="N60" s="154" t="s">
        <v>4</v>
      </c>
      <c r="O60" s="155"/>
      <c r="P60" s="155"/>
      <c r="Q60" s="156"/>
      <c r="R60" s="154" t="s">
        <v>5</v>
      </c>
      <c r="S60" s="155"/>
      <c r="T60" s="155"/>
      <c r="U60" s="156"/>
      <c r="V60" s="154" t="s">
        <v>6</v>
      </c>
      <c r="W60" s="155"/>
      <c r="X60" s="155"/>
      <c r="Y60" s="156"/>
      <c r="Z60" s="3"/>
      <c r="AA60" s="152" t="s">
        <v>67</v>
      </c>
      <c r="AB60" s="154" t="s">
        <v>7</v>
      </c>
      <c r="AC60" s="155"/>
      <c r="AD60" s="155"/>
      <c r="AE60" s="156"/>
      <c r="AF60" s="154" t="s">
        <v>8</v>
      </c>
      <c r="AG60" s="155"/>
      <c r="AH60" s="155"/>
      <c r="AI60" s="156"/>
      <c r="AN60" s="154" t="s">
        <v>10</v>
      </c>
      <c r="AO60" s="155"/>
      <c r="AP60" s="155"/>
      <c r="AQ60" s="156"/>
      <c r="AR60" s="154" t="s">
        <v>11</v>
      </c>
      <c r="AS60" s="155"/>
      <c r="AT60" s="155"/>
      <c r="AU60" s="156"/>
      <c r="AV60" s="154" t="s">
        <v>12</v>
      </c>
      <c r="AW60" s="155"/>
      <c r="AX60" s="155"/>
      <c r="AY60" s="156"/>
      <c r="AZ60" s="154" t="s">
        <v>13</v>
      </c>
      <c r="BA60" s="155"/>
      <c r="BB60" s="155"/>
      <c r="BC60" s="156"/>
    </row>
    <row r="61" spans="1:55" s="9" customFormat="1" ht="51" customHeight="1" thickBot="1" x14ac:dyDescent="0.35">
      <c r="A61" s="153"/>
      <c r="B61" s="4">
        <v>2024</v>
      </c>
      <c r="C61" s="4">
        <v>2025</v>
      </c>
      <c r="D61" s="4">
        <v>2026</v>
      </c>
      <c r="E61" s="47" t="s">
        <v>69</v>
      </c>
      <c r="F61" s="4">
        <v>2024</v>
      </c>
      <c r="G61" s="4">
        <v>2025</v>
      </c>
      <c r="H61" s="4">
        <v>2026</v>
      </c>
      <c r="I61" s="47" t="s">
        <v>69</v>
      </c>
      <c r="J61" s="4">
        <v>2024</v>
      </c>
      <c r="K61" s="4">
        <v>2025</v>
      </c>
      <c r="L61" s="4">
        <v>2026</v>
      </c>
      <c r="M61" s="47" t="s">
        <v>69</v>
      </c>
      <c r="N61" s="4">
        <v>2024</v>
      </c>
      <c r="O61" s="4">
        <v>2025</v>
      </c>
      <c r="P61" s="4">
        <v>2026</v>
      </c>
      <c r="Q61" s="47" t="s">
        <v>69</v>
      </c>
      <c r="R61" s="4">
        <v>2024</v>
      </c>
      <c r="S61" s="4">
        <v>2025</v>
      </c>
      <c r="T61" s="4">
        <v>2026</v>
      </c>
      <c r="U61" s="47" t="s">
        <v>69</v>
      </c>
      <c r="V61" s="4">
        <v>2024</v>
      </c>
      <c r="W61" s="4">
        <v>2025</v>
      </c>
      <c r="X61" s="4">
        <v>2026</v>
      </c>
      <c r="Y61" s="47" t="s">
        <v>69</v>
      </c>
      <c r="Z61" s="8"/>
      <c r="AA61" s="153"/>
      <c r="AB61" s="4">
        <v>2024</v>
      </c>
      <c r="AC61" s="4">
        <v>2025</v>
      </c>
      <c r="AD61" s="4">
        <v>2026</v>
      </c>
      <c r="AE61" s="47" t="s">
        <v>69</v>
      </c>
      <c r="AF61" s="4">
        <v>2024</v>
      </c>
      <c r="AG61" s="4">
        <v>2025</v>
      </c>
      <c r="AH61" s="4">
        <v>2026</v>
      </c>
      <c r="AI61" s="47" t="s">
        <v>69</v>
      </c>
      <c r="AJ61" s="4">
        <v>2024</v>
      </c>
      <c r="AK61" s="4">
        <v>2025</v>
      </c>
      <c r="AL61" s="4">
        <v>2026</v>
      </c>
      <c r="AM61" s="47" t="s">
        <v>69</v>
      </c>
      <c r="AN61" s="4">
        <v>2024</v>
      </c>
      <c r="AO61" s="4">
        <v>2025</v>
      </c>
      <c r="AP61" s="4">
        <v>2026</v>
      </c>
      <c r="AQ61" s="47" t="s">
        <v>69</v>
      </c>
      <c r="AR61" s="4">
        <v>2024</v>
      </c>
      <c r="AS61" s="4">
        <v>2025</v>
      </c>
      <c r="AT61" s="4">
        <v>2026</v>
      </c>
      <c r="AU61" s="47" t="s">
        <v>69</v>
      </c>
      <c r="AV61" s="4">
        <v>2024</v>
      </c>
      <c r="AW61" s="4">
        <v>2025</v>
      </c>
      <c r="AX61" s="4">
        <v>2026</v>
      </c>
      <c r="AY61" s="47" t="s">
        <v>69</v>
      </c>
      <c r="AZ61" s="4">
        <v>2024</v>
      </c>
      <c r="BA61" s="4">
        <v>2025</v>
      </c>
      <c r="BB61" s="4">
        <v>2026</v>
      </c>
      <c r="BC61" s="47" t="s">
        <v>69</v>
      </c>
    </row>
    <row r="62" spans="1:55" ht="12.75" customHeight="1" thickBot="1" x14ac:dyDescent="0.35">
      <c r="A62" s="10" t="s">
        <v>18</v>
      </c>
      <c r="B62" s="11"/>
      <c r="C62" s="12"/>
      <c r="D62" s="12"/>
      <c r="E62" s="14" t="str">
        <f>+IFERROR(D62/C62,"----")</f>
        <v>----</v>
      </c>
      <c r="F62" s="11"/>
      <c r="G62" s="12"/>
      <c r="H62" s="12"/>
      <c r="I62" s="13" t="str">
        <f t="shared" ref="I62:I113" si="71">+IFERROR(H62/G62,"----")</f>
        <v>----</v>
      </c>
      <c r="J62" s="11"/>
      <c r="K62" s="12"/>
      <c r="L62" s="12"/>
      <c r="M62" s="13" t="str">
        <f t="shared" ref="M62:M111" si="72">+IFERROR(L62/K62,"----")</f>
        <v>----</v>
      </c>
      <c r="N62" s="11"/>
      <c r="O62" s="12"/>
      <c r="P62" s="12"/>
      <c r="Q62" s="13" t="str">
        <f t="shared" ref="Q62:Q115" si="73">+IFERROR(P62/O62,"----")</f>
        <v>----</v>
      </c>
      <c r="R62" s="11"/>
      <c r="S62" s="12"/>
      <c r="T62" s="12"/>
      <c r="U62" s="13" t="str">
        <f t="shared" ref="U62:U115" si="74">+IFERROR(T62/S62,"----")</f>
        <v>----</v>
      </c>
      <c r="V62" s="11"/>
      <c r="W62" s="12"/>
      <c r="X62" s="12"/>
      <c r="Y62" s="48" t="str">
        <f t="shared" ref="Y62:Y115" si="75">+IFERROR(X62/W62,"----")</f>
        <v>----</v>
      </c>
      <c r="Z62" s="16"/>
      <c r="AA62" s="10" t="s">
        <v>18</v>
      </c>
      <c r="AB62" s="11"/>
      <c r="AC62" s="12"/>
      <c r="AD62" s="12"/>
      <c r="AE62" s="13" t="str">
        <f t="shared" ref="AE62:AE115" si="76">+IFERROR(AD62/AC62,"----")</f>
        <v>----</v>
      </c>
      <c r="AF62" s="11"/>
      <c r="AG62" s="12"/>
      <c r="AH62" s="12"/>
      <c r="AI62" s="13" t="str">
        <f t="shared" ref="AI62:AI115" si="77">+IFERROR(AH62/AG62,"----")</f>
        <v>----</v>
      </c>
      <c r="AJ62" s="11"/>
      <c r="AK62" s="12"/>
      <c r="AL62" s="12"/>
      <c r="AM62" s="13" t="str">
        <f t="shared" ref="AM62:AM115" si="78">+IFERROR(AL62/AK62,"----")</f>
        <v>----</v>
      </c>
      <c r="AN62" s="11"/>
      <c r="AO62" s="12"/>
      <c r="AP62" s="12"/>
      <c r="AQ62" s="13" t="str">
        <f t="shared" ref="AQ62:AQ111" si="79">+IFERROR(AP62/AO62,"----")</f>
        <v>----</v>
      </c>
      <c r="AR62" s="11"/>
      <c r="AS62" s="12"/>
      <c r="AT62" s="12"/>
      <c r="AU62" s="13" t="str">
        <f t="shared" ref="AU62:AU111" si="80">+IFERROR(AT62/AS62,"----")</f>
        <v>----</v>
      </c>
      <c r="AV62" s="11"/>
      <c r="AW62" s="12"/>
      <c r="AX62" s="12"/>
      <c r="AY62" s="13" t="str">
        <f t="shared" ref="AY62:AY111" si="81">+IFERROR(AX62/AW62,"----")</f>
        <v>----</v>
      </c>
      <c r="AZ62" s="11">
        <f>B62+F62+J62+N62+R62+V62+AB62+AF62+AJ62+AN62+AR62+AV62</f>
        <v>0</v>
      </c>
      <c r="BA62" s="11">
        <f>C62+G62+K62+O62+S62+W62+AC62+AG62+AK62+AO62+AS62+AW62</f>
        <v>0</v>
      </c>
      <c r="BB62" s="49">
        <f>D62+H62+L62+P62+T62+X62+AD62+AH62+AL62+AP62+AT62+AX62</f>
        <v>0</v>
      </c>
      <c r="BC62" s="15">
        <v>0</v>
      </c>
    </row>
    <row r="63" spans="1:55" ht="12.75" customHeight="1" thickBot="1" x14ac:dyDescent="0.35">
      <c r="A63" s="19" t="s">
        <v>19</v>
      </c>
      <c r="B63" s="50">
        <v>486000</v>
      </c>
      <c r="C63" s="12">
        <v>2224000</v>
      </c>
      <c r="D63" s="51">
        <f t="shared" ref="D63:D114" si="82">D6</f>
        <v>1456000</v>
      </c>
      <c r="E63" s="24">
        <f t="shared" ref="E63:E64" si="83">+IFERROR(D63/C63,"----")</f>
        <v>0.65467625899280579</v>
      </c>
      <c r="F63" s="50">
        <v>1215000</v>
      </c>
      <c r="G63" s="12">
        <v>2216000</v>
      </c>
      <c r="H63" s="51">
        <f t="shared" ref="H63:H114" si="84">H6</f>
        <v>520000</v>
      </c>
      <c r="I63" s="22">
        <f t="shared" si="71"/>
        <v>0.23465703971119134</v>
      </c>
      <c r="J63" s="50">
        <v>1215000</v>
      </c>
      <c r="K63" s="12">
        <v>0</v>
      </c>
      <c r="L63" s="51">
        <f t="shared" ref="L63:L114" si="85">L6</f>
        <v>1211250</v>
      </c>
      <c r="M63" s="22" t="str">
        <f t="shared" si="72"/>
        <v>----</v>
      </c>
      <c r="N63" s="50">
        <v>2268000</v>
      </c>
      <c r="O63" s="12">
        <v>600000</v>
      </c>
      <c r="P63" s="51">
        <f t="shared" ref="P63:P114" si="86">P6</f>
        <v>912000</v>
      </c>
      <c r="Q63" s="22">
        <f t="shared" si="73"/>
        <v>1.52</v>
      </c>
      <c r="R63" s="50">
        <v>648000</v>
      </c>
      <c r="S63" s="12">
        <v>800000</v>
      </c>
      <c r="T63" s="51">
        <f t="shared" ref="T63:T114" si="87">T6</f>
        <v>672000</v>
      </c>
      <c r="U63" s="22">
        <f t="shared" si="74"/>
        <v>0.84</v>
      </c>
      <c r="V63" s="50">
        <v>1215000</v>
      </c>
      <c r="W63" s="12">
        <v>704000</v>
      </c>
      <c r="X63" s="51">
        <f t="shared" ref="X63:X114" si="88">X6</f>
        <v>1200000</v>
      </c>
      <c r="Y63" s="52">
        <f t="shared" si="75"/>
        <v>1.7045454545454546</v>
      </c>
      <c r="Z63" s="16"/>
      <c r="AA63" s="19" t="s">
        <v>19</v>
      </c>
      <c r="AB63" s="50">
        <v>1336500</v>
      </c>
      <c r="AC63" s="12">
        <v>1240000</v>
      </c>
      <c r="AD63" s="51">
        <f t="shared" ref="AD63:AD114" si="89">AD6</f>
        <v>2278500</v>
      </c>
      <c r="AE63" s="22">
        <f t="shared" si="76"/>
        <v>1.8374999999999999</v>
      </c>
      <c r="AF63" s="50">
        <v>1620000</v>
      </c>
      <c r="AG63" s="12">
        <v>864000</v>
      </c>
      <c r="AH63" s="51">
        <f t="shared" ref="AH63:AH114" si="90">AH6</f>
        <v>2322000</v>
      </c>
      <c r="AI63" s="22">
        <f t="shared" si="77"/>
        <v>2.6875</v>
      </c>
      <c r="AJ63" s="50">
        <v>648000</v>
      </c>
      <c r="AK63" s="12">
        <v>984000</v>
      </c>
      <c r="AL63" s="51">
        <f t="shared" ref="AL63:AL114" si="91">AL6</f>
        <v>3152750</v>
      </c>
      <c r="AM63" s="22">
        <f t="shared" si="78"/>
        <v>3.2040142276422765</v>
      </c>
      <c r="AN63" s="50">
        <v>1822500</v>
      </c>
      <c r="AO63" s="12">
        <v>376000</v>
      </c>
      <c r="AP63" s="51">
        <f t="shared" ref="AP63:AP114" si="92">AP6</f>
        <v>0</v>
      </c>
      <c r="AQ63" s="22">
        <f t="shared" si="79"/>
        <v>0</v>
      </c>
      <c r="AR63" s="50">
        <v>810000</v>
      </c>
      <c r="AS63" s="12">
        <v>904000</v>
      </c>
      <c r="AT63" s="51">
        <f t="shared" ref="AT63:AT114" si="93">AT6</f>
        <v>0</v>
      </c>
      <c r="AU63" s="22">
        <f t="shared" si="80"/>
        <v>0</v>
      </c>
      <c r="AV63" s="50">
        <v>1701000</v>
      </c>
      <c r="AW63" s="12">
        <v>1116000</v>
      </c>
      <c r="AX63" s="51">
        <f t="shared" ref="AX63:AX114" si="94">AX6</f>
        <v>0</v>
      </c>
      <c r="AY63" s="22">
        <f t="shared" si="81"/>
        <v>0</v>
      </c>
      <c r="AZ63" s="11">
        <f t="shared" ref="AZ63:AZ113" si="95">B63+F63+J63+N63+R63+V63+AB63+AF63+AJ63+AN63+AR63+AV63</f>
        <v>14985000</v>
      </c>
      <c r="BA63" s="11">
        <f t="shared" ref="BA63:BA113" si="96">C63+G63+K63+O63+S63+W63+AC63+AG63+AK63+AO63+AS63+AW63</f>
        <v>12028000</v>
      </c>
      <c r="BB63" s="49">
        <f t="shared" ref="BB63:BB113" si="97">D63+H63+L63+P63+T63+X63+AD63+AH63+AL63+AP63+AT63+AX63</f>
        <v>13724500</v>
      </c>
      <c r="BC63" s="15">
        <v>0</v>
      </c>
    </row>
    <row r="64" spans="1:55" ht="14.25" customHeight="1" thickBot="1" x14ac:dyDescent="0.35">
      <c r="A64" s="20" t="s">
        <v>20</v>
      </c>
      <c r="B64" s="50">
        <v>0</v>
      </c>
      <c r="C64" s="12">
        <v>0</v>
      </c>
      <c r="D64" s="51">
        <f t="shared" si="82"/>
        <v>0</v>
      </c>
      <c r="E64" s="24" t="str">
        <f t="shared" si="83"/>
        <v>----</v>
      </c>
      <c r="F64" s="50">
        <v>1378970</v>
      </c>
      <c r="G64" s="12">
        <v>0</v>
      </c>
      <c r="H64" s="51">
        <f t="shared" si="84"/>
        <v>0</v>
      </c>
      <c r="I64" s="24" t="str">
        <f t="shared" si="71"/>
        <v>----</v>
      </c>
      <c r="J64" s="50">
        <v>0</v>
      </c>
      <c r="K64" s="12">
        <v>0</v>
      </c>
      <c r="L64" s="51">
        <f t="shared" si="85"/>
        <v>0</v>
      </c>
      <c r="M64" s="22" t="str">
        <f t="shared" si="72"/>
        <v>----</v>
      </c>
      <c r="N64" s="50">
        <v>0</v>
      </c>
      <c r="O64" s="12">
        <v>0</v>
      </c>
      <c r="P64" s="51">
        <f t="shared" si="86"/>
        <v>0</v>
      </c>
      <c r="Q64" s="22" t="str">
        <f t="shared" si="73"/>
        <v>----</v>
      </c>
      <c r="R64" s="50">
        <v>0</v>
      </c>
      <c r="S64" s="12">
        <v>0</v>
      </c>
      <c r="T64" s="51">
        <f t="shared" si="87"/>
        <v>0</v>
      </c>
      <c r="U64" s="22" t="str">
        <f t="shared" si="74"/>
        <v>----</v>
      </c>
      <c r="V64" s="50">
        <v>0</v>
      </c>
      <c r="W64" s="12">
        <v>0</v>
      </c>
      <c r="X64" s="51">
        <f t="shared" si="88"/>
        <v>0</v>
      </c>
      <c r="Y64" s="52" t="str">
        <f t="shared" si="75"/>
        <v>----</v>
      </c>
      <c r="Z64" s="16"/>
      <c r="AA64" s="20" t="s">
        <v>20</v>
      </c>
      <c r="AB64" s="50">
        <v>0</v>
      </c>
      <c r="AC64" s="12">
        <v>0</v>
      </c>
      <c r="AD64" s="51">
        <f t="shared" si="89"/>
        <v>0</v>
      </c>
      <c r="AE64" s="22" t="str">
        <f t="shared" si="76"/>
        <v>----</v>
      </c>
      <c r="AF64" s="50">
        <v>0</v>
      </c>
      <c r="AG64" s="12">
        <v>0</v>
      </c>
      <c r="AH64" s="51">
        <f t="shared" si="90"/>
        <v>0</v>
      </c>
      <c r="AI64" s="22" t="str">
        <f t="shared" si="77"/>
        <v>----</v>
      </c>
      <c r="AJ64" s="50">
        <v>0</v>
      </c>
      <c r="AK64" s="12">
        <v>0</v>
      </c>
      <c r="AL64" s="51">
        <f t="shared" si="91"/>
        <v>0</v>
      </c>
      <c r="AM64" s="22" t="str">
        <f t="shared" si="78"/>
        <v>----</v>
      </c>
      <c r="AN64" s="50">
        <v>0</v>
      </c>
      <c r="AO64" s="12">
        <v>0</v>
      </c>
      <c r="AP64" s="51">
        <f t="shared" si="92"/>
        <v>0</v>
      </c>
      <c r="AQ64" s="22" t="str">
        <f t="shared" si="79"/>
        <v>----</v>
      </c>
      <c r="AR64" s="50">
        <v>0</v>
      </c>
      <c r="AS64" s="12">
        <v>0</v>
      </c>
      <c r="AT64" s="51">
        <f t="shared" si="93"/>
        <v>0</v>
      </c>
      <c r="AU64" s="22" t="str">
        <f t="shared" si="80"/>
        <v>----</v>
      </c>
      <c r="AV64" s="50">
        <v>0</v>
      </c>
      <c r="AW64" s="12">
        <v>0</v>
      </c>
      <c r="AX64" s="51">
        <f t="shared" si="94"/>
        <v>0</v>
      </c>
      <c r="AY64" s="22" t="str">
        <f t="shared" si="81"/>
        <v>----</v>
      </c>
      <c r="AZ64" s="11">
        <f t="shared" si="95"/>
        <v>1378970</v>
      </c>
      <c r="BA64" s="11">
        <f t="shared" si="96"/>
        <v>0</v>
      </c>
      <c r="BB64" s="49">
        <f t="shared" si="97"/>
        <v>0</v>
      </c>
      <c r="BC64" s="15">
        <v>0</v>
      </c>
    </row>
    <row r="65" spans="1:55" ht="12.75" customHeight="1" thickBot="1" x14ac:dyDescent="0.35">
      <c r="A65" s="20" t="s">
        <v>21</v>
      </c>
      <c r="B65" s="49">
        <v>1148690</v>
      </c>
      <c r="C65" s="12">
        <v>0</v>
      </c>
      <c r="D65" s="51">
        <f t="shared" si="82"/>
        <v>0</v>
      </c>
      <c r="E65" s="14" t="str">
        <f>+IFERROR(D65/C65,"----")</f>
        <v>----</v>
      </c>
      <c r="F65" s="49">
        <v>0</v>
      </c>
      <c r="G65" s="12">
        <v>0</v>
      </c>
      <c r="H65" s="51">
        <f>H8</f>
        <v>0</v>
      </c>
      <c r="I65" s="13" t="str">
        <f t="shared" si="71"/>
        <v>----</v>
      </c>
      <c r="J65" s="49">
        <v>501120</v>
      </c>
      <c r="K65" s="12">
        <v>0</v>
      </c>
      <c r="L65" s="51">
        <f t="shared" si="85"/>
        <v>0</v>
      </c>
      <c r="M65" s="13" t="str">
        <f t="shared" si="72"/>
        <v>----</v>
      </c>
      <c r="N65" s="49">
        <v>723840</v>
      </c>
      <c r="O65" s="12">
        <v>0</v>
      </c>
      <c r="P65" s="51">
        <f t="shared" si="86"/>
        <v>0</v>
      </c>
      <c r="Q65" s="13" t="str">
        <f t="shared" si="73"/>
        <v>----</v>
      </c>
      <c r="R65" s="49">
        <v>214368</v>
      </c>
      <c r="S65" s="12">
        <v>0</v>
      </c>
      <c r="T65" s="51">
        <f t="shared" si="87"/>
        <v>0</v>
      </c>
      <c r="U65" s="13" t="str">
        <f t="shared" si="74"/>
        <v>----</v>
      </c>
      <c r="V65" s="49">
        <v>0</v>
      </c>
      <c r="W65" s="12">
        <v>0</v>
      </c>
      <c r="X65" s="51">
        <f t="shared" si="88"/>
        <v>0</v>
      </c>
      <c r="Y65" s="48" t="str">
        <f t="shared" si="75"/>
        <v>----</v>
      </c>
      <c r="Z65" s="16"/>
      <c r="AA65" s="20" t="s">
        <v>21</v>
      </c>
      <c r="AB65" s="49">
        <v>856000</v>
      </c>
      <c r="AC65" s="12">
        <v>0</v>
      </c>
      <c r="AD65" s="51">
        <f t="shared" si="89"/>
        <v>0</v>
      </c>
      <c r="AE65" s="13" t="str">
        <f t="shared" si="76"/>
        <v>----</v>
      </c>
      <c r="AF65" s="49">
        <v>0</v>
      </c>
      <c r="AG65" s="12">
        <v>0</v>
      </c>
      <c r="AH65" s="51">
        <f t="shared" si="90"/>
        <v>0</v>
      </c>
      <c r="AI65" s="13" t="str">
        <f t="shared" si="77"/>
        <v>----</v>
      </c>
      <c r="AJ65" s="49">
        <v>0</v>
      </c>
      <c r="AK65" s="12">
        <v>0</v>
      </c>
      <c r="AL65" s="51">
        <f t="shared" si="91"/>
        <v>0</v>
      </c>
      <c r="AM65" s="13" t="str">
        <f t="shared" si="78"/>
        <v>----</v>
      </c>
      <c r="AN65" s="49">
        <v>0</v>
      </c>
      <c r="AO65" s="12">
        <v>0</v>
      </c>
      <c r="AP65" s="51">
        <f t="shared" si="92"/>
        <v>0</v>
      </c>
      <c r="AQ65" s="13" t="str">
        <f t="shared" si="79"/>
        <v>----</v>
      </c>
      <c r="AR65" s="49">
        <v>0</v>
      </c>
      <c r="AS65" s="12">
        <v>0</v>
      </c>
      <c r="AT65" s="51">
        <f t="shared" si="93"/>
        <v>0</v>
      </c>
      <c r="AU65" s="13" t="str">
        <f t="shared" si="80"/>
        <v>----</v>
      </c>
      <c r="AV65" s="49">
        <v>0</v>
      </c>
      <c r="AW65" s="12">
        <v>0</v>
      </c>
      <c r="AX65" s="51">
        <f t="shared" si="94"/>
        <v>0</v>
      </c>
      <c r="AY65" s="13" t="str">
        <f t="shared" si="81"/>
        <v>----</v>
      </c>
      <c r="AZ65" s="11">
        <f t="shared" si="95"/>
        <v>3444018</v>
      </c>
      <c r="BA65" s="11">
        <f t="shared" si="96"/>
        <v>0</v>
      </c>
      <c r="BB65" s="49">
        <f t="shared" si="97"/>
        <v>0</v>
      </c>
      <c r="BC65" s="15">
        <v>0</v>
      </c>
    </row>
    <row r="66" spans="1:55" ht="12.75" customHeight="1" thickBot="1" x14ac:dyDescent="0.35">
      <c r="A66" s="20" t="s">
        <v>22</v>
      </c>
      <c r="B66" s="49">
        <v>154508.20000000001</v>
      </c>
      <c r="C66" s="12">
        <v>0</v>
      </c>
      <c r="D66" s="51">
        <f t="shared" si="82"/>
        <v>545946.67999999993</v>
      </c>
      <c r="E66" s="14" t="str">
        <f>+IFERROR(D66/C66,"----")</f>
        <v>----</v>
      </c>
      <c r="F66" s="49">
        <v>442962.2</v>
      </c>
      <c r="G66" s="12">
        <v>243435</v>
      </c>
      <c r="H66" s="51">
        <f t="shared" si="84"/>
        <v>834794</v>
      </c>
      <c r="I66" s="13">
        <f t="shared" si="71"/>
        <v>3.4292275145316</v>
      </c>
      <c r="J66" s="49">
        <v>2859012.9</v>
      </c>
      <c r="K66" s="12">
        <v>650100</v>
      </c>
      <c r="L66" s="51">
        <f t="shared" si="85"/>
        <v>959690.4</v>
      </c>
      <c r="M66" s="13">
        <f t="shared" si="72"/>
        <v>1.4762196585140748</v>
      </c>
      <c r="N66" s="49">
        <v>1428392.4</v>
      </c>
      <c r="O66" s="12">
        <v>873500</v>
      </c>
      <c r="P66" s="51">
        <f t="shared" si="86"/>
        <v>1466560.3</v>
      </c>
      <c r="Q66" s="13">
        <f t="shared" si="73"/>
        <v>1.6789471093302806</v>
      </c>
      <c r="R66" s="49">
        <v>0</v>
      </c>
      <c r="S66" s="12">
        <v>707500</v>
      </c>
      <c r="T66" s="51">
        <f t="shared" si="87"/>
        <v>2262387.9</v>
      </c>
      <c r="U66" s="13">
        <f t="shared" si="74"/>
        <v>3.1977214134275616</v>
      </c>
      <c r="V66" s="49">
        <v>0</v>
      </c>
      <c r="W66" s="12">
        <v>615000</v>
      </c>
      <c r="X66" s="51">
        <f t="shared" si="88"/>
        <v>404551</v>
      </c>
      <c r="Y66" s="48">
        <f t="shared" si="75"/>
        <v>0.6578065040650406</v>
      </c>
      <c r="Z66" s="16"/>
      <c r="AA66" s="20" t="s">
        <v>22</v>
      </c>
      <c r="AB66" s="49">
        <v>624578.5</v>
      </c>
      <c r="AC66" s="12">
        <v>245000</v>
      </c>
      <c r="AD66" s="51">
        <f t="shared" si="89"/>
        <v>1064000</v>
      </c>
      <c r="AE66" s="13">
        <f t="shared" si="76"/>
        <v>4.3428571428571425</v>
      </c>
      <c r="AF66" s="49">
        <v>936395.7</v>
      </c>
      <c r="AG66" s="12">
        <v>366000</v>
      </c>
      <c r="AH66" s="51">
        <f t="shared" si="90"/>
        <v>260000</v>
      </c>
      <c r="AI66" s="13">
        <f t="shared" si="77"/>
        <v>0.7103825136612022</v>
      </c>
      <c r="AJ66" s="49">
        <v>1300916.7499999998</v>
      </c>
      <c r="AK66" s="12">
        <v>615000</v>
      </c>
      <c r="AL66" s="51">
        <f t="shared" si="91"/>
        <v>584000</v>
      </c>
      <c r="AM66" s="13">
        <f t="shared" si="78"/>
        <v>0.94959349593495934</v>
      </c>
      <c r="AN66" s="49">
        <v>2353098.35</v>
      </c>
      <c r="AO66" s="12">
        <v>909000</v>
      </c>
      <c r="AP66" s="51">
        <f t="shared" si="92"/>
        <v>0</v>
      </c>
      <c r="AQ66" s="13">
        <f t="shared" si="79"/>
        <v>0</v>
      </c>
      <c r="AR66" s="49">
        <v>0</v>
      </c>
      <c r="AS66" s="12">
        <v>1064000</v>
      </c>
      <c r="AT66" s="51">
        <f t="shared" si="93"/>
        <v>0</v>
      </c>
      <c r="AU66" s="13">
        <f t="shared" si="80"/>
        <v>0</v>
      </c>
      <c r="AV66" s="49">
        <v>1011000</v>
      </c>
      <c r="AW66" s="12">
        <v>931126.79999999993</v>
      </c>
      <c r="AX66" s="51">
        <f t="shared" si="94"/>
        <v>0</v>
      </c>
      <c r="AY66" s="13">
        <f t="shared" si="81"/>
        <v>0</v>
      </c>
      <c r="AZ66" s="11">
        <f t="shared" si="95"/>
        <v>11110865</v>
      </c>
      <c r="BA66" s="11">
        <f t="shared" si="96"/>
        <v>7219661.7999999998</v>
      </c>
      <c r="BB66" s="49">
        <f t="shared" si="97"/>
        <v>8381930.2799999993</v>
      </c>
      <c r="BC66" s="15">
        <v>0</v>
      </c>
    </row>
    <row r="67" spans="1:55" ht="12.75" customHeight="1" thickBot="1" x14ac:dyDescent="0.35">
      <c r="A67" s="20" t="s">
        <v>23</v>
      </c>
      <c r="B67" s="50">
        <v>253061.74</v>
      </c>
      <c r="C67" s="12">
        <v>299332.05</v>
      </c>
      <c r="D67" s="51">
        <f t="shared" si="82"/>
        <v>187801.65</v>
      </c>
      <c r="E67" s="24">
        <f t="shared" ref="E67:E79" si="98">+IFERROR(D67/C67,"----")</f>
        <v>0.627402411469136</v>
      </c>
      <c r="F67" s="50">
        <v>269613.78999999998</v>
      </c>
      <c r="G67" s="12">
        <v>215472.55000000002</v>
      </c>
      <c r="H67" s="51">
        <f t="shared" si="84"/>
        <v>154639.35</v>
      </c>
      <c r="I67" s="22">
        <f t="shared" si="71"/>
        <v>0.71767540691378084</v>
      </c>
      <c r="J67" s="50">
        <v>155840.35</v>
      </c>
      <c r="K67" s="12">
        <v>114751.9</v>
      </c>
      <c r="L67" s="51">
        <f t="shared" si="85"/>
        <v>220179.6</v>
      </c>
      <c r="M67" s="22">
        <f t="shared" si="72"/>
        <v>1.9187447005234772</v>
      </c>
      <c r="N67" s="50">
        <v>342906.95</v>
      </c>
      <c r="O67" s="12">
        <v>204493.5</v>
      </c>
      <c r="P67" s="51">
        <f t="shared" si="86"/>
        <v>222288.44999999998</v>
      </c>
      <c r="Q67" s="22">
        <f t="shared" si="73"/>
        <v>1.0870196363209588</v>
      </c>
      <c r="R67" s="50">
        <v>181568.11</v>
      </c>
      <c r="S67" s="12">
        <v>237050.4</v>
      </c>
      <c r="T67" s="51">
        <f t="shared" si="87"/>
        <v>215550.05</v>
      </c>
      <c r="U67" s="22">
        <f t="shared" si="74"/>
        <v>0.90930051162115733</v>
      </c>
      <c r="V67" s="50">
        <v>274733.33</v>
      </c>
      <c r="W67" s="12">
        <v>209859.20000000001</v>
      </c>
      <c r="X67" s="51">
        <f t="shared" si="88"/>
        <v>178116.1</v>
      </c>
      <c r="Y67" s="52">
        <f t="shared" si="75"/>
        <v>0.8487409653710678</v>
      </c>
      <c r="Z67" s="16"/>
      <c r="AA67" s="20" t="s">
        <v>23</v>
      </c>
      <c r="AB67" s="50">
        <v>283479.15000000002</v>
      </c>
      <c r="AC67" s="12">
        <v>268458.95</v>
      </c>
      <c r="AD67" s="51">
        <f t="shared" si="89"/>
        <v>266689.95</v>
      </c>
      <c r="AE67" s="22">
        <f t="shared" si="76"/>
        <v>0.99341053818470193</v>
      </c>
      <c r="AF67" s="50">
        <v>251665.65</v>
      </c>
      <c r="AG67" s="12">
        <v>159374.65</v>
      </c>
      <c r="AH67" s="51">
        <f t="shared" si="90"/>
        <v>199917.45</v>
      </c>
      <c r="AI67" s="22">
        <f t="shared" si="77"/>
        <v>1.2543867547316967</v>
      </c>
      <c r="AJ67" s="50">
        <v>266175</v>
      </c>
      <c r="AK67" s="12">
        <v>185255.30000000002</v>
      </c>
      <c r="AL67" s="51">
        <f t="shared" si="91"/>
        <v>172766.3</v>
      </c>
      <c r="AM67" s="22">
        <f t="shared" si="78"/>
        <v>0.93258492469581156</v>
      </c>
      <c r="AN67" s="50">
        <v>204437.6</v>
      </c>
      <c r="AO67" s="12">
        <v>239693.20000000004</v>
      </c>
      <c r="AP67" s="51">
        <f t="shared" si="92"/>
        <v>0</v>
      </c>
      <c r="AQ67" s="22">
        <f t="shared" si="79"/>
        <v>0</v>
      </c>
      <c r="AR67" s="50">
        <v>198383.6</v>
      </c>
      <c r="AS67" s="12">
        <v>156078.20000000001</v>
      </c>
      <c r="AT67" s="51">
        <f t="shared" si="93"/>
        <v>0</v>
      </c>
      <c r="AU67" s="22">
        <f t="shared" si="80"/>
        <v>0</v>
      </c>
      <c r="AV67" s="50">
        <v>303483.19999999995</v>
      </c>
      <c r="AW67" s="12">
        <v>233999.75</v>
      </c>
      <c r="AX67" s="51">
        <f t="shared" si="94"/>
        <v>0</v>
      </c>
      <c r="AY67" s="22">
        <f t="shared" si="81"/>
        <v>0</v>
      </c>
      <c r="AZ67" s="11">
        <f t="shared" si="95"/>
        <v>2985348.4699999997</v>
      </c>
      <c r="BA67" s="11">
        <f t="shared" si="96"/>
        <v>2523819.65</v>
      </c>
      <c r="BB67" s="49">
        <f t="shared" si="97"/>
        <v>1817948.9</v>
      </c>
      <c r="BC67" s="15">
        <v>0</v>
      </c>
    </row>
    <row r="68" spans="1:55" ht="12.75" customHeight="1" thickBot="1" x14ac:dyDescent="0.35">
      <c r="A68" s="20" t="s">
        <v>24</v>
      </c>
      <c r="B68" s="50">
        <v>70937.600000000006</v>
      </c>
      <c r="C68" s="12">
        <v>0</v>
      </c>
      <c r="D68" s="51">
        <f t="shared" si="82"/>
        <v>65088.3</v>
      </c>
      <c r="E68" s="24" t="str">
        <f t="shared" si="98"/>
        <v>----</v>
      </c>
      <c r="F68" s="50">
        <v>103179.8</v>
      </c>
      <c r="G68" s="12">
        <v>29651.4</v>
      </c>
      <c r="H68" s="51">
        <f t="shared" si="84"/>
        <v>60288.9</v>
      </c>
      <c r="I68" s="24">
        <f t="shared" si="71"/>
        <v>2.0332564398308342</v>
      </c>
      <c r="J68" s="50">
        <v>76959</v>
      </c>
      <c r="K68" s="12">
        <v>31173.3</v>
      </c>
      <c r="L68" s="51">
        <f t="shared" si="85"/>
        <v>68457</v>
      </c>
      <c r="M68" s="22">
        <f t="shared" si="72"/>
        <v>2.1960138965075884</v>
      </c>
      <c r="N68" s="50">
        <v>0</v>
      </c>
      <c r="O68" s="12">
        <v>29303.7</v>
      </c>
      <c r="P68" s="51">
        <f t="shared" si="86"/>
        <v>120549.3</v>
      </c>
      <c r="Q68" s="22">
        <f t="shared" si="73"/>
        <v>4.1137910912273874</v>
      </c>
      <c r="R68" s="50">
        <v>0</v>
      </c>
      <c r="S68" s="12">
        <v>114267.90000000001</v>
      </c>
      <c r="T68" s="51">
        <f t="shared" si="87"/>
        <v>60157.8</v>
      </c>
      <c r="U68" s="22">
        <f t="shared" si="74"/>
        <v>0.52646281239088144</v>
      </c>
      <c r="V68" s="50">
        <v>279795.90000000002</v>
      </c>
      <c r="W68" s="12">
        <v>27360</v>
      </c>
      <c r="X68" s="51">
        <f t="shared" si="88"/>
        <v>56378.7</v>
      </c>
      <c r="Y68" s="52">
        <f t="shared" si="75"/>
        <v>2.0606249999999999</v>
      </c>
      <c r="Z68" s="16"/>
      <c r="AA68" s="20" t="s">
        <v>24</v>
      </c>
      <c r="AB68" s="50">
        <v>0</v>
      </c>
      <c r="AC68" s="12">
        <v>60494.1</v>
      </c>
      <c r="AD68" s="51">
        <f t="shared" si="89"/>
        <v>56709.3</v>
      </c>
      <c r="AE68" s="22">
        <f t="shared" si="76"/>
        <v>0.93743522095543208</v>
      </c>
      <c r="AF68" s="50">
        <v>66114.3</v>
      </c>
      <c r="AG68" s="12">
        <v>94471.799999999988</v>
      </c>
      <c r="AH68" s="51">
        <f t="shared" si="90"/>
        <v>61594.2</v>
      </c>
      <c r="AI68" s="22">
        <f t="shared" si="77"/>
        <v>0.65198503680463382</v>
      </c>
      <c r="AJ68" s="50">
        <v>37597.199999999997</v>
      </c>
      <c r="AK68" s="12">
        <v>34467.9</v>
      </c>
      <c r="AL68" s="51">
        <f t="shared" si="91"/>
        <v>0</v>
      </c>
      <c r="AM68" s="22">
        <f t="shared" si="78"/>
        <v>0</v>
      </c>
      <c r="AN68" s="50">
        <v>0</v>
      </c>
      <c r="AO68" s="12">
        <v>59701.8</v>
      </c>
      <c r="AP68" s="51">
        <f t="shared" si="92"/>
        <v>0</v>
      </c>
      <c r="AQ68" s="22">
        <f t="shared" si="79"/>
        <v>0</v>
      </c>
      <c r="AR68" s="50">
        <v>0</v>
      </c>
      <c r="AS68" s="12">
        <v>61121.1</v>
      </c>
      <c r="AT68" s="51">
        <f t="shared" si="93"/>
        <v>0</v>
      </c>
      <c r="AU68" s="22">
        <f t="shared" si="80"/>
        <v>0</v>
      </c>
      <c r="AV68" s="50">
        <v>0</v>
      </c>
      <c r="AW68" s="12">
        <v>61759.5</v>
      </c>
      <c r="AX68" s="51">
        <f t="shared" si="94"/>
        <v>0</v>
      </c>
      <c r="AY68" s="22">
        <f t="shared" si="81"/>
        <v>0</v>
      </c>
      <c r="AZ68" s="11">
        <f t="shared" si="95"/>
        <v>634583.80000000005</v>
      </c>
      <c r="BA68" s="11">
        <f t="shared" si="96"/>
        <v>603772.5</v>
      </c>
      <c r="BB68" s="49">
        <f t="shared" si="97"/>
        <v>549223.5</v>
      </c>
      <c r="BC68" s="15">
        <v>0</v>
      </c>
    </row>
    <row r="69" spans="1:55" ht="12.75" customHeight="1" thickBot="1" x14ac:dyDescent="0.35">
      <c r="A69" s="19" t="s">
        <v>25</v>
      </c>
      <c r="B69" s="50">
        <v>0</v>
      </c>
      <c r="C69" s="12">
        <v>63947.3</v>
      </c>
      <c r="D69" s="51">
        <f t="shared" si="82"/>
        <v>43443.7</v>
      </c>
      <c r="E69" s="22">
        <f t="shared" si="98"/>
        <v>0.67936722895259061</v>
      </c>
      <c r="F69" s="50">
        <v>54388.5</v>
      </c>
      <c r="G69" s="12">
        <v>61880.6</v>
      </c>
      <c r="H69" s="51">
        <f t="shared" si="84"/>
        <v>0</v>
      </c>
      <c r="I69" s="22">
        <f t="shared" si="71"/>
        <v>0</v>
      </c>
      <c r="J69" s="50">
        <v>50209.8</v>
      </c>
      <c r="K69" s="12">
        <v>0</v>
      </c>
      <c r="L69" s="51">
        <f t="shared" si="85"/>
        <v>10915</v>
      </c>
      <c r="M69" s="22" t="str">
        <f t="shared" si="72"/>
        <v>----</v>
      </c>
      <c r="N69" s="50">
        <v>51633</v>
      </c>
      <c r="O69" s="12">
        <v>56176.800000000003</v>
      </c>
      <c r="P69" s="51">
        <f t="shared" si="86"/>
        <v>0</v>
      </c>
      <c r="Q69" s="22">
        <f t="shared" si="73"/>
        <v>0</v>
      </c>
      <c r="R69" s="50">
        <v>101640</v>
      </c>
      <c r="S69" s="12">
        <v>103529.60000000001</v>
      </c>
      <c r="T69" s="51">
        <f t="shared" si="87"/>
        <v>25250</v>
      </c>
      <c r="U69" s="22">
        <f t="shared" si="74"/>
        <v>0.24389160201526905</v>
      </c>
      <c r="V69" s="50">
        <v>60173.1</v>
      </c>
      <c r="W69" s="12">
        <v>47778.1</v>
      </c>
      <c r="X69" s="51">
        <f t="shared" si="88"/>
        <v>32235</v>
      </c>
      <c r="Y69" s="52">
        <f t="shared" si="75"/>
        <v>0.67468149633409447</v>
      </c>
      <c r="Z69" s="16"/>
      <c r="AA69" s="19" t="s">
        <v>25</v>
      </c>
      <c r="AB69" s="50">
        <v>50156.399999999994</v>
      </c>
      <c r="AC69" s="12">
        <v>41390</v>
      </c>
      <c r="AD69" s="51">
        <f t="shared" si="89"/>
        <v>31845</v>
      </c>
      <c r="AE69" s="22">
        <f t="shared" si="76"/>
        <v>0.76938874124184586</v>
      </c>
      <c r="AF69" s="50">
        <v>120864.3</v>
      </c>
      <c r="AG69" s="12">
        <v>46661.8</v>
      </c>
      <c r="AH69" s="51">
        <f t="shared" si="90"/>
        <v>0</v>
      </c>
      <c r="AI69" s="22">
        <f t="shared" si="77"/>
        <v>0</v>
      </c>
      <c r="AJ69" s="50">
        <v>70846.2</v>
      </c>
      <c r="AK69" s="12">
        <v>46662.3</v>
      </c>
      <c r="AL69" s="51">
        <f t="shared" si="91"/>
        <v>0</v>
      </c>
      <c r="AM69" s="22">
        <f t="shared" si="78"/>
        <v>0</v>
      </c>
      <c r="AN69" s="50">
        <v>0</v>
      </c>
      <c r="AO69" s="12">
        <v>31118</v>
      </c>
      <c r="AP69" s="51">
        <f t="shared" si="92"/>
        <v>0</v>
      </c>
      <c r="AQ69" s="22">
        <f t="shared" si="79"/>
        <v>0</v>
      </c>
      <c r="AR69" s="50">
        <v>73419.199999999997</v>
      </c>
      <c r="AS69" s="12">
        <v>120109.7</v>
      </c>
      <c r="AT69" s="51">
        <f t="shared" si="93"/>
        <v>0</v>
      </c>
      <c r="AU69" s="22">
        <f t="shared" si="80"/>
        <v>0</v>
      </c>
      <c r="AV69" s="50">
        <v>57582.7</v>
      </c>
      <c r="AW69" s="12">
        <v>48776.800000000003</v>
      </c>
      <c r="AX69" s="51">
        <f t="shared" si="94"/>
        <v>0</v>
      </c>
      <c r="AY69" s="22">
        <f t="shared" si="81"/>
        <v>0</v>
      </c>
      <c r="AZ69" s="11">
        <f t="shared" si="95"/>
        <v>690913.19999999984</v>
      </c>
      <c r="BA69" s="11">
        <f t="shared" si="96"/>
        <v>668031</v>
      </c>
      <c r="BB69" s="49">
        <f t="shared" si="97"/>
        <v>143688.70000000001</v>
      </c>
      <c r="BC69" s="15">
        <v>0</v>
      </c>
    </row>
    <row r="70" spans="1:55" ht="12.75" customHeight="1" thickBot="1" x14ac:dyDescent="0.35">
      <c r="A70" s="20" t="s">
        <v>26</v>
      </c>
      <c r="B70" s="50">
        <v>52367.5</v>
      </c>
      <c r="C70" s="12">
        <v>97289.5</v>
      </c>
      <c r="D70" s="51">
        <f>D13</f>
        <v>117502</v>
      </c>
      <c r="E70" s="24">
        <f t="shared" si="98"/>
        <v>1.2077562326869806</v>
      </c>
      <c r="F70" s="50">
        <v>99769</v>
      </c>
      <c r="G70" s="12">
        <v>74305</v>
      </c>
      <c r="H70" s="51">
        <f t="shared" si="84"/>
        <v>98934</v>
      </c>
      <c r="I70" s="24">
        <f t="shared" si="71"/>
        <v>1.3314581791265729</v>
      </c>
      <c r="J70" s="50">
        <v>115726.5</v>
      </c>
      <c r="K70" s="12">
        <v>79387</v>
      </c>
      <c r="L70" s="51">
        <f t="shared" si="85"/>
        <v>97878</v>
      </c>
      <c r="M70" s="22">
        <f t="shared" si="72"/>
        <v>1.2329222668698905</v>
      </c>
      <c r="N70" s="50">
        <v>103960</v>
      </c>
      <c r="O70" s="12">
        <v>118074</v>
      </c>
      <c r="P70" s="51">
        <f t="shared" si="86"/>
        <v>138154.5</v>
      </c>
      <c r="Q70" s="22">
        <f t="shared" si="73"/>
        <v>1.1700670765790944</v>
      </c>
      <c r="R70" s="50">
        <v>69633</v>
      </c>
      <c r="S70" s="12">
        <v>68458.5</v>
      </c>
      <c r="T70" s="51">
        <f t="shared" si="87"/>
        <v>41426</v>
      </c>
      <c r="U70" s="22">
        <f t="shared" si="74"/>
        <v>0.60512573310837958</v>
      </c>
      <c r="V70" s="50">
        <v>77745</v>
      </c>
      <c r="W70" s="12">
        <v>80690.5</v>
      </c>
      <c r="X70" s="51">
        <f t="shared" si="88"/>
        <v>74800</v>
      </c>
      <c r="Y70" s="52">
        <f t="shared" si="75"/>
        <v>0.92699884125144849</v>
      </c>
      <c r="Z70" s="16"/>
      <c r="AA70" s="20" t="s">
        <v>26</v>
      </c>
      <c r="AB70" s="50">
        <v>108416</v>
      </c>
      <c r="AC70" s="12">
        <v>114972</v>
      </c>
      <c r="AD70" s="51">
        <f t="shared" si="89"/>
        <v>109637</v>
      </c>
      <c r="AE70" s="22">
        <f t="shared" si="76"/>
        <v>0.95359739762724838</v>
      </c>
      <c r="AF70" s="50">
        <v>102619</v>
      </c>
      <c r="AG70" s="12">
        <v>101959</v>
      </c>
      <c r="AH70" s="51">
        <f t="shared" si="90"/>
        <v>70444</v>
      </c>
      <c r="AI70" s="22">
        <f t="shared" si="77"/>
        <v>0.69090516776351274</v>
      </c>
      <c r="AJ70" s="50">
        <v>103448</v>
      </c>
      <c r="AK70" s="12">
        <v>174746</v>
      </c>
      <c r="AL70" s="51">
        <f t="shared" si="91"/>
        <v>74123.5</v>
      </c>
      <c r="AM70" s="22">
        <f t="shared" si="78"/>
        <v>0.42417852196902933</v>
      </c>
      <c r="AN70" s="50">
        <v>143181.5</v>
      </c>
      <c r="AO70" s="12">
        <v>34237.5</v>
      </c>
      <c r="AP70" s="51">
        <f t="shared" si="92"/>
        <v>0</v>
      </c>
      <c r="AQ70" s="22">
        <f t="shared" si="79"/>
        <v>0</v>
      </c>
      <c r="AR70" s="50">
        <v>62381</v>
      </c>
      <c r="AS70" s="12">
        <v>96937.5</v>
      </c>
      <c r="AT70" s="51">
        <f t="shared" si="93"/>
        <v>0</v>
      </c>
      <c r="AU70" s="22">
        <f t="shared" si="80"/>
        <v>0</v>
      </c>
      <c r="AV70" s="50">
        <v>131488.5</v>
      </c>
      <c r="AW70" s="12">
        <v>128584.5</v>
      </c>
      <c r="AX70" s="51">
        <f t="shared" si="94"/>
        <v>0</v>
      </c>
      <c r="AY70" s="22">
        <f t="shared" si="81"/>
        <v>0</v>
      </c>
      <c r="AZ70" s="11">
        <f t="shared" si="95"/>
        <v>1170735</v>
      </c>
      <c r="BA70" s="11">
        <f t="shared" si="96"/>
        <v>1169641</v>
      </c>
      <c r="BB70" s="49">
        <f t="shared" si="97"/>
        <v>822899</v>
      </c>
      <c r="BC70" s="15">
        <v>0</v>
      </c>
    </row>
    <row r="71" spans="1:55" ht="12.75" customHeight="1" thickBot="1" x14ac:dyDescent="0.35">
      <c r="A71" s="20" t="s">
        <v>27</v>
      </c>
      <c r="B71" s="50">
        <v>0</v>
      </c>
      <c r="C71" s="12">
        <v>121212</v>
      </c>
      <c r="D71" s="51">
        <f t="shared" si="82"/>
        <v>0</v>
      </c>
      <c r="E71" s="22">
        <f t="shared" si="98"/>
        <v>0</v>
      </c>
      <c r="F71" s="50">
        <v>178680.2</v>
      </c>
      <c r="G71" s="12">
        <v>119724</v>
      </c>
      <c r="H71" s="51">
        <f t="shared" si="84"/>
        <v>67002</v>
      </c>
      <c r="I71" s="24">
        <f t="shared" si="71"/>
        <v>0.55963716548060538</v>
      </c>
      <c r="J71" s="50">
        <v>59682</v>
      </c>
      <c r="K71" s="12">
        <v>0</v>
      </c>
      <c r="L71" s="51">
        <f t="shared" si="85"/>
        <v>136526</v>
      </c>
      <c r="M71" s="22" t="str">
        <f t="shared" si="72"/>
        <v>----</v>
      </c>
      <c r="N71" s="50">
        <v>120714</v>
      </c>
      <c r="O71" s="12">
        <v>103740</v>
      </c>
      <c r="P71" s="51">
        <f t="shared" si="86"/>
        <v>0</v>
      </c>
      <c r="Q71" s="22">
        <f t="shared" si="73"/>
        <v>0</v>
      </c>
      <c r="R71" s="50">
        <v>61350</v>
      </c>
      <c r="S71" s="12">
        <v>61522.5</v>
      </c>
      <c r="T71" s="51">
        <f t="shared" si="87"/>
        <v>72520.5</v>
      </c>
      <c r="U71" s="22">
        <f t="shared" si="74"/>
        <v>1.1787638668779714</v>
      </c>
      <c r="V71" s="50">
        <v>120468</v>
      </c>
      <c r="W71" s="12">
        <v>126261.5</v>
      </c>
      <c r="X71" s="51">
        <f t="shared" si="88"/>
        <v>0</v>
      </c>
      <c r="Y71" s="52">
        <f t="shared" si="75"/>
        <v>0</v>
      </c>
      <c r="Z71" s="16"/>
      <c r="AA71" s="20" t="s">
        <v>27</v>
      </c>
      <c r="AB71" s="50">
        <v>29550</v>
      </c>
      <c r="AC71" s="12">
        <v>66807</v>
      </c>
      <c r="AD71" s="51">
        <f t="shared" si="89"/>
        <v>68646.5</v>
      </c>
      <c r="AE71" s="22">
        <f t="shared" si="76"/>
        <v>1.0275345397937341</v>
      </c>
      <c r="AF71" s="50">
        <v>124842</v>
      </c>
      <c r="AG71" s="12">
        <v>133711.5</v>
      </c>
      <c r="AH71" s="51">
        <f t="shared" si="90"/>
        <v>68308.5</v>
      </c>
      <c r="AI71" s="22">
        <f t="shared" si="77"/>
        <v>0.51086480968353509</v>
      </c>
      <c r="AJ71" s="50">
        <v>62460</v>
      </c>
      <c r="AK71" s="12">
        <v>0</v>
      </c>
      <c r="AL71" s="51">
        <f t="shared" si="91"/>
        <v>0</v>
      </c>
      <c r="AM71" s="22" t="str">
        <f t="shared" si="78"/>
        <v>----</v>
      </c>
      <c r="AN71" s="50">
        <v>180396</v>
      </c>
      <c r="AO71" s="12">
        <v>67938</v>
      </c>
      <c r="AP71" s="51">
        <f t="shared" si="92"/>
        <v>0</v>
      </c>
      <c r="AQ71" s="22">
        <f t="shared" si="79"/>
        <v>0</v>
      </c>
      <c r="AR71" s="50">
        <v>0</v>
      </c>
      <c r="AS71" s="12">
        <v>138762</v>
      </c>
      <c r="AT71" s="51">
        <f t="shared" si="93"/>
        <v>0</v>
      </c>
      <c r="AU71" s="22">
        <f t="shared" si="80"/>
        <v>0</v>
      </c>
      <c r="AV71" s="50">
        <v>63876</v>
      </c>
      <c r="AW71" s="12">
        <v>67931.5</v>
      </c>
      <c r="AX71" s="51">
        <f t="shared" si="94"/>
        <v>0</v>
      </c>
      <c r="AY71" s="22">
        <f t="shared" si="81"/>
        <v>0</v>
      </c>
      <c r="AZ71" s="11">
        <f t="shared" si="95"/>
        <v>1002018.2</v>
      </c>
      <c r="BA71" s="11">
        <f t="shared" si="96"/>
        <v>1007610</v>
      </c>
      <c r="BB71" s="49">
        <f t="shared" si="97"/>
        <v>413003.5</v>
      </c>
      <c r="BC71" s="15">
        <v>0</v>
      </c>
    </row>
    <row r="72" spans="1:55" ht="12.75" customHeight="1" thickBot="1" x14ac:dyDescent="0.35">
      <c r="A72" s="20" t="s">
        <v>28</v>
      </c>
      <c r="B72" s="50">
        <v>0</v>
      </c>
      <c r="C72" s="12">
        <v>0</v>
      </c>
      <c r="D72" s="51">
        <f t="shared" si="82"/>
        <v>0</v>
      </c>
      <c r="E72" s="22" t="str">
        <f t="shared" si="98"/>
        <v>----</v>
      </c>
      <c r="F72" s="50">
        <v>145800</v>
      </c>
      <c r="G72" s="12">
        <v>0</v>
      </c>
      <c r="H72" s="51">
        <f t="shared" si="84"/>
        <v>0</v>
      </c>
      <c r="I72" s="24" t="str">
        <f t="shared" si="71"/>
        <v>----</v>
      </c>
      <c r="J72" s="50">
        <v>0</v>
      </c>
      <c r="K72" s="12">
        <v>0</v>
      </c>
      <c r="L72" s="51">
        <f t="shared" si="85"/>
        <v>0</v>
      </c>
      <c r="M72" s="24" t="str">
        <f t="shared" si="72"/>
        <v>----</v>
      </c>
      <c r="N72" s="50">
        <v>0</v>
      </c>
      <c r="O72" s="12">
        <v>0</v>
      </c>
      <c r="P72" s="51">
        <f t="shared" si="86"/>
        <v>0</v>
      </c>
      <c r="Q72" s="22" t="str">
        <f t="shared" si="73"/>
        <v>----</v>
      </c>
      <c r="R72" s="50">
        <v>38040.6</v>
      </c>
      <c r="S72" s="12">
        <v>0</v>
      </c>
      <c r="T72" s="51">
        <f t="shared" si="87"/>
        <v>0</v>
      </c>
      <c r="U72" s="22" t="str">
        <f t="shared" si="74"/>
        <v>----</v>
      </c>
      <c r="V72" s="50">
        <v>10401.200000000001</v>
      </c>
      <c r="W72" s="12">
        <v>0</v>
      </c>
      <c r="X72" s="51">
        <f t="shared" si="88"/>
        <v>0</v>
      </c>
      <c r="Y72" s="52" t="str">
        <f t="shared" si="75"/>
        <v>----</v>
      </c>
      <c r="Z72" s="16"/>
      <c r="AA72" s="20" t="s">
        <v>28</v>
      </c>
      <c r="AB72" s="50">
        <v>0</v>
      </c>
      <c r="AC72" s="12">
        <v>0</v>
      </c>
      <c r="AD72" s="51">
        <f t="shared" si="89"/>
        <v>0</v>
      </c>
      <c r="AE72" s="22" t="str">
        <f t="shared" si="76"/>
        <v>----</v>
      </c>
      <c r="AF72" s="50">
        <v>0</v>
      </c>
      <c r="AG72" s="12">
        <v>0</v>
      </c>
      <c r="AH72" s="51">
        <f t="shared" si="90"/>
        <v>0</v>
      </c>
      <c r="AI72" s="22" t="str">
        <f t="shared" si="77"/>
        <v>----</v>
      </c>
      <c r="AJ72" s="50">
        <v>0</v>
      </c>
      <c r="AK72" s="12">
        <v>0</v>
      </c>
      <c r="AL72" s="51">
        <f t="shared" si="91"/>
        <v>0</v>
      </c>
      <c r="AM72" s="22" t="str">
        <f t="shared" si="78"/>
        <v>----</v>
      </c>
      <c r="AN72" s="50">
        <v>0</v>
      </c>
      <c r="AO72" s="12">
        <v>0</v>
      </c>
      <c r="AP72" s="51">
        <f t="shared" si="92"/>
        <v>0</v>
      </c>
      <c r="AQ72" s="22" t="str">
        <f t="shared" si="79"/>
        <v>----</v>
      </c>
      <c r="AR72" s="50">
        <v>0</v>
      </c>
      <c r="AS72" s="12">
        <v>0</v>
      </c>
      <c r="AT72" s="51">
        <f t="shared" si="93"/>
        <v>0</v>
      </c>
      <c r="AU72" s="22" t="str">
        <f t="shared" si="80"/>
        <v>----</v>
      </c>
      <c r="AV72" s="50">
        <v>0</v>
      </c>
      <c r="AW72" s="12">
        <v>0</v>
      </c>
      <c r="AX72" s="51">
        <f t="shared" si="94"/>
        <v>0</v>
      </c>
      <c r="AY72" s="22" t="str">
        <f t="shared" si="81"/>
        <v>----</v>
      </c>
      <c r="AZ72" s="11">
        <f t="shared" si="95"/>
        <v>194241.80000000002</v>
      </c>
      <c r="BA72" s="11">
        <f t="shared" si="96"/>
        <v>0</v>
      </c>
      <c r="BB72" s="49">
        <f t="shared" si="97"/>
        <v>0</v>
      </c>
      <c r="BC72" s="15">
        <v>0</v>
      </c>
    </row>
    <row r="73" spans="1:55" ht="12.75" customHeight="1" thickBot="1" x14ac:dyDescent="0.35">
      <c r="A73" s="20" t="s">
        <v>29</v>
      </c>
      <c r="B73" s="50">
        <v>4658858.0999999996</v>
      </c>
      <c r="C73" s="12">
        <v>0</v>
      </c>
      <c r="D73" s="51">
        <f t="shared" si="82"/>
        <v>0</v>
      </c>
      <c r="E73" s="24" t="str">
        <f t="shared" si="98"/>
        <v>----</v>
      </c>
      <c r="F73" s="50">
        <v>0</v>
      </c>
      <c r="G73" s="12">
        <v>0</v>
      </c>
      <c r="H73" s="51">
        <f t="shared" si="84"/>
        <v>0</v>
      </c>
      <c r="I73" s="24" t="str">
        <f t="shared" si="71"/>
        <v>----</v>
      </c>
      <c r="J73" s="50">
        <v>0</v>
      </c>
      <c r="K73" s="12">
        <v>0</v>
      </c>
      <c r="L73" s="51">
        <f t="shared" si="85"/>
        <v>0</v>
      </c>
      <c r="M73" s="24" t="str">
        <f t="shared" si="72"/>
        <v>----</v>
      </c>
      <c r="N73" s="50">
        <v>0</v>
      </c>
      <c r="O73" s="12">
        <v>0</v>
      </c>
      <c r="P73" s="51">
        <f t="shared" si="86"/>
        <v>0</v>
      </c>
      <c r="Q73" s="22" t="str">
        <f t="shared" si="73"/>
        <v>----</v>
      </c>
      <c r="R73" s="50">
        <v>0</v>
      </c>
      <c r="S73" s="12">
        <v>0</v>
      </c>
      <c r="T73" s="51">
        <f t="shared" si="87"/>
        <v>0</v>
      </c>
      <c r="U73" s="22" t="str">
        <f t="shared" si="74"/>
        <v>----</v>
      </c>
      <c r="V73" s="50">
        <v>0</v>
      </c>
      <c r="W73" s="12">
        <v>0</v>
      </c>
      <c r="X73" s="51">
        <f t="shared" si="88"/>
        <v>0</v>
      </c>
      <c r="Y73" s="52" t="str">
        <f t="shared" si="75"/>
        <v>----</v>
      </c>
      <c r="Z73" s="16"/>
      <c r="AA73" s="20" t="s">
        <v>29</v>
      </c>
      <c r="AB73" s="50">
        <v>0</v>
      </c>
      <c r="AC73" s="12">
        <v>0</v>
      </c>
      <c r="AD73" s="51">
        <f t="shared" si="89"/>
        <v>0</v>
      </c>
      <c r="AE73" s="22" t="str">
        <f t="shared" si="76"/>
        <v>----</v>
      </c>
      <c r="AF73" s="50">
        <v>0</v>
      </c>
      <c r="AG73" s="12">
        <v>0</v>
      </c>
      <c r="AH73" s="51">
        <f t="shared" si="90"/>
        <v>0</v>
      </c>
      <c r="AI73" s="22" t="str">
        <f t="shared" si="77"/>
        <v>----</v>
      </c>
      <c r="AJ73" s="50">
        <v>0</v>
      </c>
      <c r="AK73" s="12">
        <v>0</v>
      </c>
      <c r="AL73" s="51">
        <f t="shared" si="91"/>
        <v>0</v>
      </c>
      <c r="AM73" s="22" t="str">
        <f t="shared" si="78"/>
        <v>----</v>
      </c>
      <c r="AN73" s="50">
        <v>0</v>
      </c>
      <c r="AO73" s="12">
        <v>0</v>
      </c>
      <c r="AP73" s="51">
        <f t="shared" si="92"/>
        <v>0</v>
      </c>
      <c r="AQ73" s="22" t="str">
        <f t="shared" si="79"/>
        <v>----</v>
      </c>
      <c r="AR73" s="50">
        <v>0</v>
      </c>
      <c r="AS73" s="12">
        <v>0</v>
      </c>
      <c r="AT73" s="51">
        <f t="shared" si="93"/>
        <v>0</v>
      </c>
      <c r="AU73" s="22" t="str">
        <f t="shared" si="80"/>
        <v>----</v>
      </c>
      <c r="AV73" s="50">
        <v>0</v>
      </c>
      <c r="AW73" s="12">
        <v>0</v>
      </c>
      <c r="AX73" s="51">
        <f t="shared" si="94"/>
        <v>0</v>
      </c>
      <c r="AY73" s="22" t="str">
        <f t="shared" si="81"/>
        <v>----</v>
      </c>
      <c r="AZ73" s="11">
        <f t="shared" si="95"/>
        <v>4658858.0999999996</v>
      </c>
      <c r="BA73" s="11">
        <f t="shared" si="96"/>
        <v>0</v>
      </c>
      <c r="BB73" s="49">
        <f t="shared" si="97"/>
        <v>0</v>
      </c>
      <c r="BC73" s="15">
        <v>0</v>
      </c>
    </row>
    <row r="74" spans="1:55" ht="12.75" customHeight="1" thickBot="1" x14ac:dyDescent="0.35">
      <c r="A74" s="20" t="s">
        <v>30</v>
      </c>
      <c r="B74" s="53">
        <v>37885.5</v>
      </c>
      <c r="C74" s="12">
        <v>90451.8</v>
      </c>
      <c r="D74" s="51">
        <f t="shared" si="82"/>
        <v>63210.9</v>
      </c>
      <c r="E74" s="54">
        <f t="shared" si="98"/>
        <v>0.69883518072608841</v>
      </c>
      <c r="F74" s="53">
        <v>48420.9</v>
      </c>
      <c r="G74" s="12">
        <v>64574.1</v>
      </c>
      <c r="H74" s="51">
        <f t="shared" si="84"/>
        <v>67957.899999999994</v>
      </c>
      <c r="I74" s="54">
        <f t="shared" si="71"/>
        <v>1.052401814349716</v>
      </c>
      <c r="J74" s="53">
        <v>93169.3</v>
      </c>
      <c r="K74" s="12">
        <v>128600.6</v>
      </c>
      <c r="L74" s="51">
        <f t="shared" si="85"/>
        <v>67541.8</v>
      </c>
      <c r="M74" s="54">
        <f t="shared" si="72"/>
        <v>0.52520594771719575</v>
      </c>
      <c r="N74" s="53">
        <v>124710.7</v>
      </c>
      <c r="O74" s="12">
        <v>50876</v>
      </c>
      <c r="P74" s="51">
        <f t="shared" si="86"/>
        <v>84067.3</v>
      </c>
      <c r="Q74" s="54">
        <f t="shared" si="73"/>
        <v>1.6523960216998193</v>
      </c>
      <c r="R74" s="53">
        <v>122788.1</v>
      </c>
      <c r="S74" s="12">
        <v>38078.800000000003</v>
      </c>
      <c r="T74" s="51">
        <f t="shared" si="87"/>
        <v>59639.600000000006</v>
      </c>
      <c r="U74" s="54">
        <f t="shared" si="74"/>
        <v>1.5662153219114048</v>
      </c>
      <c r="V74" s="53">
        <v>57267.5</v>
      </c>
      <c r="W74" s="12">
        <v>79204.5</v>
      </c>
      <c r="X74" s="51">
        <f t="shared" si="88"/>
        <v>126415</v>
      </c>
      <c r="Y74" s="55">
        <f t="shared" si="75"/>
        <v>1.5960583047680372</v>
      </c>
      <c r="Z74" s="16"/>
      <c r="AA74" s="20" t="s">
        <v>30</v>
      </c>
      <c r="AB74" s="53">
        <v>108895.1</v>
      </c>
      <c r="AC74" s="12">
        <v>59640.7</v>
      </c>
      <c r="AD74" s="51">
        <f t="shared" si="89"/>
        <v>75695</v>
      </c>
      <c r="AE74" s="54">
        <f t="shared" si="76"/>
        <v>1.2691836279587598</v>
      </c>
      <c r="AF74" s="53">
        <v>127188.59999999999</v>
      </c>
      <c r="AG74" s="12">
        <v>49005.7</v>
      </c>
      <c r="AH74" s="51">
        <f t="shared" si="90"/>
        <v>108000</v>
      </c>
      <c r="AI74" s="54">
        <f t="shared" si="77"/>
        <v>2.2038252693054075</v>
      </c>
      <c r="AJ74" s="53">
        <v>78655.199999999997</v>
      </c>
      <c r="AK74" s="12">
        <v>44915.600000000006</v>
      </c>
      <c r="AL74" s="51">
        <f t="shared" si="91"/>
        <v>108000</v>
      </c>
      <c r="AM74" s="54">
        <f t="shared" si="78"/>
        <v>2.404509791698207</v>
      </c>
      <c r="AN74" s="53">
        <v>45642.400000000001</v>
      </c>
      <c r="AO74" s="12">
        <v>35091.1</v>
      </c>
      <c r="AP74" s="51">
        <f t="shared" si="92"/>
        <v>0</v>
      </c>
      <c r="AQ74" s="54">
        <f t="shared" si="79"/>
        <v>0</v>
      </c>
      <c r="AR74" s="53">
        <v>80289.600000000006</v>
      </c>
      <c r="AS74" s="12">
        <v>60131.199999999997</v>
      </c>
      <c r="AT74" s="51">
        <f t="shared" si="93"/>
        <v>0</v>
      </c>
      <c r="AU74" s="54">
        <f t="shared" si="80"/>
        <v>0</v>
      </c>
      <c r="AV74" s="53">
        <v>138794</v>
      </c>
      <c r="AW74" s="12">
        <v>46604.9</v>
      </c>
      <c r="AX74" s="51">
        <f t="shared" si="94"/>
        <v>0</v>
      </c>
      <c r="AY74" s="22">
        <f t="shared" si="81"/>
        <v>0</v>
      </c>
      <c r="AZ74" s="11">
        <f t="shared" si="95"/>
        <v>1063706.8999999999</v>
      </c>
      <c r="BA74" s="11">
        <f t="shared" si="96"/>
        <v>747174.99999999988</v>
      </c>
      <c r="BB74" s="49">
        <f t="shared" si="97"/>
        <v>760527.5</v>
      </c>
      <c r="BC74" s="15">
        <v>0</v>
      </c>
    </row>
    <row r="75" spans="1:55" ht="12.75" customHeight="1" thickBot="1" x14ac:dyDescent="0.35">
      <c r="A75" s="20" t="s">
        <v>31</v>
      </c>
      <c r="B75" s="50">
        <v>0</v>
      </c>
      <c r="C75" s="12">
        <v>0</v>
      </c>
      <c r="D75" s="51">
        <f t="shared" si="82"/>
        <v>0</v>
      </c>
      <c r="E75" s="22" t="str">
        <f t="shared" si="98"/>
        <v>----</v>
      </c>
      <c r="F75" s="50">
        <v>0</v>
      </c>
      <c r="G75" s="12">
        <v>0</v>
      </c>
      <c r="H75" s="51">
        <f t="shared" si="84"/>
        <v>0</v>
      </c>
      <c r="I75" s="22" t="str">
        <f t="shared" si="71"/>
        <v>----</v>
      </c>
      <c r="J75" s="50">
        <v>0</v>
      </c>
      <c r="K75" s="12">
        <v>0</v>
      </c>
      <c r="L75" s="51">
        <f t="shared" si="85"/>
        <v>0</v>
      </c>
      <c r="M75" s="22" t="str">
        <f t="shared" si="72"/>
        <v>----</v>
      </c>
      <c r="N75" s="50">
        <v>0</v>
      </c>
      <c r="O75" s="12">
        <v>0</v>
      </c>
      <c r="P75" s="51">
        <f t="shared" si="86"/>
        <v>0</v>
      </c>
      <c r="Q75" s="22" t="str">
        <f t="shared" si="73"/>
        <v>----</v>
      </c>
      <c r="R75" s="50">
        <v>0</v>
      </c>
      <c r="S75" s="12">
        <v>0</v>
      </c>
      <c r="T75" s="51">
        <f t="shared" si="87"/>
        <v>0</v>
      </c>
      <c r="U75" s="22" t="str">
        <f t="shared" si="74"/>
        <v>----</v>
      </c>
      <c r="V75" s="50">
        <v>0</v>
      </c>
      <c r="W75" s="12">
        <v>0</v>
      </c>
      <c r="X75" s="51">
        <f t="shared" si="88"/>
        <v>0</v>
      </c>
      <c r="Y75" s="52" t="str">
        <f t="shared" si="75"/>
        <v>----</v>
      </c>
      <c r="Z75" s="16"/>
      <c r="AA75" s="20" t="s">
        <v>31</v>
      </c>
      <c r="AB75" s="50">
        <v>0</v>
      </c>
      <c r="AC75" s="12">
        <v>0</v>
      </c>
      <c r="AD75" s="51">
        <f t="shared" si="89"/>
        <v>0</v>
      </c>
      <c r="AE75" s="22" t="str">
        <f t="shared" si="76"/>
        <v>----</v>
      </c>
      <c r="AF75" s="50">
        <v>0</v>
      </c>
      <c r="AG75" s="12">
        <v>0</v>
      </c>
      <c r="AH75" s="51">
        <f t="shared" si="90"/>
        <v>0</v>
      </c>
      <c r="AI75" s="22" t="str">
        <f t="shared" si="77"/>
        <v>----</v>
      </c>
      <c r="AJ75" s="50">
        <v>0</v>
      </c>
      <c r="AK75" s="12">
        <v>0</v>
      </c>
      <c r="AL75" s="51">
        <f t="shared" si="91"/>
        <v>0</v>
      </c>
      <c r="AM75" s="22" t="str">
        <f t="shared" si="78"/>
        <v>----</v>
      </c>
      <c r="AN75" s="50">
        <v>0</v>
      </c>
      <c r="AO75" s="12">
        <v>0</v>
      </c>
      <c r="AP75" s="51">
        <f t="shared" si="92"/>
        <v>0</v>
      </c>
      <c r="AQ75" s="22" t="str">
        <f t="shared" si="79"/>
        <v>----</v>
      </c>
      <c r="AR75" s="50">
        <v>0</v>
      </c>
      <c r="AS75" s="12">
        <v>0</v>
      </c>
      <c r="AT75" s="51">
        <f t="shared" si="93"/>
        <v>0</v>
      </c>
      <c r="AU75" s="22" t="str">
        <f t="shared" si="80"/>
        <v>----</v>
      </c>
      <c r="AV75" s="50">
        <v>0</v>
      </c>
      <c r="AW75" s="12">
        <v>0</v>
      </c>
      <c r="AX75" s="51">
        <f t="shared" si="94"/>
        <v>0</v>
      </c>
      <c r="AY75" s="22" t="str">
        <f t="shared" si="81"/>
        <v>----</v>
      </c>
      <c r="AZ75" s="11">
        <f t="shared" si="95"/>
        <v>0</v>
      </c>
      <c r="BA75" s="11">
        <f t="shared" si="96"/>
        <v>0</v>
      </c>
      <c r="BB75" s="49">
        <f t="shared" si="97"/>
        <v>0</v>
      </c>
      <c r="BC75" s="15">
        <v>0</v>
      </c>
    </row>
    <row r="76" spans="1:55" ht="12.75" customHeight="1" thickBot="1" x14ac:dyDescent="0.35">
      <c r="A76" s="20" t="s">
        <v>90</v>
      </c>
      <c r="B76" s="50">
        <v>0</v>
      </c>
      <c r="C76" s="12">
        <v>0</v>
      </c>
      <c r="D76" s="51">
        <f t="shared" si="82"/>
        <v>50400</v>
      </c>
      <c r="E76" s="22" t="str">
        <f t="shared" ref="E76" si="99">+IFERROR(D76/C76,"----")</f>
        <v>----</v>
      </c>
      <c r="F76" s="50">
        <v>0</v>
      </c>
      <c r="G76" s="12">
        <v>0</v>
      </c>
      <c r="H76" s="51">
        <f t="shared" si="84"/>
        <v>67200</v>
      </c>
      <c r="I76" s="22" t="str">
        <f t="shared" ref="I76" si="100">+IFERROR(H76/G76,"----")</f>
        <v>----</v>
      </c>
      <c r="J76" s="50">
        <v>0</v>
      </c>
      <c r="K76" s="12">
        <v>6013.5</v>
      </c>
      <c r="L76" s="51">
        <f t="shared" si="85"/>
        <v>57000</v>
      </c>
      <c r="M76" s="22">
        <f t="shared" ref="M76" si="101">+IFERROR(L76/K76,"----")</f>
        <v>9.4786729857819907</v>
      </c>
      <c r="N76" s="50">
        <v>0</v>
      </c>
      <c r="O76" s="12">
        <v>12038.4</v>
      </c>
      <c r="P76" s="51">
        <f t="shared" si="86"/>
        <v>691080</v>
      </c>
      <c r="Q76" s="22">
        <f t="shared" ref="Q76" si="102">+IFERROR(P76/O76,"----")</f>
        <v>57.406299840510371</v>
      </c>
      <c r="R76" s="50">
        <v>0</v>
      </c>
      <c r="S76" s="12">
        <v>24173.7</v>
      </c>
      <c r="T76" s="51">
        <f t="shared" si="87"/>
        <v>57000</v>
      </c>
      <c r="U76" s="22">
        <f t="shared" ref="U76" si="103">+IFERROR(T76/S76,"----")</f>
        <v>2.3579344494223058</v>
      </c>
      <c r="V76" s="50">
        <v>0</v>
      </c>
      <c r="W76" s="12">
        <v>68437.5</v>
      </c>
      <c r="X76" s="51">
        <f t="shared" si="88"/>
        <v>117900</v>
      </c>
      <c r="Y76" s="52">
        <f t="shared" ref="Y76" si="104">+IFERROR(X76/W76,"----")</f>
        <v>1.7227397260273973</v>
      </c>
      <c r="Z76" s="16"/>
      <c r="AA76" s="20" t="s">
        <v>90</v>
      </c>
      <c r="AB76" s="50">
        <v>0</v>
      </c>
      <c r="AC76" s="12">
        <v>113340.9</v>
      </c>
      <c r="AD76" s="51">
        <f t="shared" si="89"/>
        <v>84000</v>
      </c>
      <c r="AE76" s="22">
        <f t="shared" ref="AE76" si="105">+IFERROR(AD76/AC76,"----")</f>
        <v>0.74112698946276234</v>
      </c>
      <c r="AF76" s="50">
        <v>0</v>
      </c>
      <c r="AG76" s="12">
        <v>315326.39999999997</v>
      </c>
      <c r="AH76" s="51">
        <f t="shared" si="90"/>
        <v>90000</v>
      </c>
      <c r="AI76" s="22">
        <f t="shared" ref="AI76" si="106">+IFERROR(AH76/AG76,"----")</f>
        <v>0.28541853774374748</v>
      </c>
      <c r="AJ76" s="50">
        <v>0</v>
      </c>
      <c r="AK76" s="12">
        <v>117750</v>
      </c>
      <c r="AL76" s="51">
        <f t="shared" si="91"/>
        <v>0</v>
      </c>
      <c r="AM76" s="22">
        <f t="shared" ref="AM76" si="107">+IFERROR(AL76/AK76,"----")</f>
        <v>0</v>
      </c>
      <c r="AN76" s="50">
        <v>0</v>
      </c>
      <c r="AO76" s="12">
        <v>102600</v>
      </c>
      <c r="AP76" s="51">
        <f t="shared" si="92"/>
        <v>0</v>
      </c>
      <c r="AQ76" s="22">
        <f t="shared" ref="AQ76" si="108">+IFERROR(AP76/AO76,"----")</f>
        <v>0</v>
      </c>
      <c r="AR76" s="50">
        <v>0</v>
      </c>
      <c r="AS76" s="12">
        <v>204600</v>
      </c>
      <c r="AT76" s="51">
        <f t="shared" si="93"/>
        <v>0</v>
      </c>
      <c r="AU76" s="22">
        <f t="shared" ref="AU76" si="109">+IFERROR(AT76/AS76,"----")</f>
        <v>0</v>
      </c>
      <c r="AV76" s="50">
        <v>0</v>
      </c>
      <c r="AW76" s="12">
        <v>377400</v>
      </c>
      <c r="AX76" s="51">
        <f t="shared" si="94"/>
        <v>0</v>
      </c>
      <c r="AY76" s="22">
        <f t="shared" ref="AY76" si="110">+IFERROR(AX76/AW76,"----")</f>
        <v>0</v>
      </c>
      <c r="AZ76" s="11">
        <f t="shared" si="95"/>
        <v>0</v>
      </c>
      <c r="BA76" s="11">
        <f t="shared" si="96"/>
        <v>1341680.3999999999</v>
      </c>
      <c r="BB76" s="49">
        <f t="shared" si="97"/>
        <v>1214580</v>
      </c>
      <c r="BC76" s="15">
        <v>0</v>
      </c>
    </row>
    <row r="77" spans="1:55" ht="12.75" customHeight="1" thickBot="1" x14ac:dyDescent="0.35">
      <c r="A77" s="20" t="s">
        <v>91</v>
      </c>
      <c r="B77" s="50">
        <v>0</v>
      </c>
      <c r="C77" s="12">
        <v>179348</v>
      </c>
      <c r="D77" s="51">
        <f t="shared" si="82"/>
        <v>168918.75</v>
      </c>
      <c r="E77" s="22">
        <f t="shared" si="98"/>
        <v>0.94184908669179468</v>
      </c>
      <c r="F77" s="50">
        <v>0</v>
      </c>
      <c r="G77" s="12">
        <v>264529.19999999995</v>
      </c>
      <c r="H77" s="51">
        <f t="shared" si="84"/>
        <v>459112.5</v>
      </c>
      <c r="I77" s="22">
        <f t="shared" si="71"/>
        <v>1.7355834440961531</v>
      </c>
      <c r="J77" s="50">
        <v>0</v>
      </c>
      <c r="K77" s="12">
        <v>208899.6</v>
      </c>
      <c r="L77" s="51">
        <f t="shared" si="85"/>
        <v>402672.45</v>
      </c>
      <c r="M77" s="22">
        <f t="shared" si="72"/>
        <v>1.9275884204660996</v>
      </c>
      <c r="N77" s="50">
        <v>0</v>
      </c>
      <c r="O77" s="12">
        <v>524940.00000000012</v>
      </c>
      <c r="P77" s="51">
        <f t="shared" si="86"/>
        <v>564569.9</v>
      </c>
      <c r="Q77" s="22">
        <f t="shared" si="73"/>
        <v>1.0754941517125765</v>
      </c>
      <c r="R77" s="50">
        <v>0</v>
      </c>
      <c r="S77" s="12">
        <v>292001.40000000002</v>
      </c>
      <c r="T77" s="51">
        <f t="shared" si="87"/>
        <v>280350</v>
      </c>
      <c r="U77" s="22">
        <f t="shared" si="74"/>
        <v>0.9600981365157838</v>
      </c>
      <c r="V77" s="50">
        <v>0</v>
      </c>
      <c r="W77" s="12">
        <v>247951.6</v>
      </c>
      <c r="X77" s="51">
        <f t="shared" si="88"/>
        <v>341040</v>
      </c>
      <c r="Y77" s="52">
        <f t="shared" si="75"/>
        <v>1.3754297209616715</v>
      </c>
      <c r="Z77" s="16"/>
      <c r="AA77" s="20" t="s">
        <v>91</v>
      </c>
      <c r="AB77" s="50">
        <v>0</v>
      </c>
      <c r="AC77" s="12">
        <v>646497.4</v>
      </c>
      <c r="AD77" s="51">
        <f t="shared" si="89"/>
        <v>509815.2</v>
      </c>
      <c r="AE77" s="22">
        <f t="shared" si="76"/>
        <v>0.78858043357946994</v>
      </c>
      <c r="AF77" s="50">
        <v>0</v>
      </c>
      <c r="AG77" s="12">
        <v>194537.1</v>
      </c>
      <c r="AH77" s="51">
        <f t="shared" si="90"/>
        <v>443746.8</v>
      </c>
      <c r="AI77" s="22">
        <f t="shared" si="77"/>
        <v>2.2810394521147894</v>
      </c>
      <c r="AJ77" s="50">
        <v>0</v>
      </c>
      <c r="AK77" s="12">
        <v>217829.95</v>
      </c>
      <c r="AL77" s="51">
        <f t="shared" si="91"/>
        <v>202920</v>
      </c>
      <c r="AM77" s="22">
        <f t="shared" si="78"/>
        <v>0.93155234163162592</v>
      </c>
      <c r="AN77" s="50">
        <v>0</v>
      </c>
      <c r="AO77" s="12">
        <v>386488.5</v>
      </c>
      <c r="AP77" s="51">
        <f t="shared" si="92"/>
        <v>0</v>
      </c>
      <c r="AQ77" s="22">
        <f t="shared" si="79"/>
        <v>0</v>
      </c>
      <c r="AR77" s="50">
        <v>0</v>
      </c>
      <c r="AS77" s="12">
        <v>353193.75</v>
      </c>
      <c r="AT77" s="51">
        <f t="shared" si="93"/>
        <v>0</v>
      </c>
      <c r="AU77" s="22">
        <f t="shared" si="80"/>
        <v>0</v>
      </c>
      <c r="AV77" s="50">
        <v>0</v>
      </c>
      <c r="AW77" s="12">
        <v>541689.15</v>
      </c>
      <c r="AX77" s="51">
        <f t="shared" si="94"/>
        <v>0</v>
      </c>
      <c r="AY77" s="22">
        <f t="shared" si="81"/>
        <v>0</v>
      </c>
      <c r="AZ77" s="11">
        <f t="shared" si="95"/>
        <v>0</v>
      </c>
      <c r="BA77" s="11">
        <f t="shared" si="96"/>
        <v>4057905.6500000004</v>
      </c>
      <c r="BB77" s="49">
        <f t="shared" si="97"/>
        <v>3373145.6</v>
      </c>
      <c r="BC77" s="15">
        <v>0</v>
      </c>
    </row>
    <row r="78" spans="1:55" ht="12" customHeight="1" thickBot="1" x14ac:dyDescent="0.35">
      <c r="A78" s="28" t="s">
        <v>94</v>
      </c>
      <c r="B78" s="56"/>
      <c r="C78" s="12"/>
      <c r="D78" s="51">
        <f t="shared" si="82"/>
        <v>223195</v>
      </c>
      <c r="E78" s="32" t="str">
        <f t="shared" ref="E78" si="111">+IFERROR(D78/C78,"----")</f>
        <v>----</v>
      </c>
      <c r="F78" s="56"/>
      <c r="G78" s="12"/>
      <c r="H78" s="51">
        <f t="shared" si="84"/>
        <v>189210</v>
      </c>
      <c r="I78" s="32" t="str">
        <f t="shared" ref="I78" si="112">+IFERROR(H78/G78,"----")</f>
        <v>----</v>
      </c>
      <c r="J78" s="56"/>
      <c r="K78" s="12"/>
      <c r="L78" s="51">
        <f t="shared" si="85"/>
        <v>264838</v>
      </c>
      <c r="M78" s="32" t="str">
        <f t="shared" ref="M78" si="113">+IFERROR(L78/K78,"----")</f>
        <v>----</v>
      </c>
      <c r="N78" s="56"/>
      <c r="O78" s="12"/>
      <c r="P78" s="51">
        <f t="shared" si="86"/>
        <v>182273</v>
      </c>
      <c r="Q78" s="32" t="str">
        <f t="shared" ref="Q78" si="114">+IFERROR(P78/O78,"----")</f>
        <v>----</v>
      </c>
      <c r="R78" s="56"/>
      <c r="S78" s="12"/>
      <c r="T78" s="51">
        <f t="shared" si="87"/>
        <v>267659</v>
      </c>
      <c r="U78" s="32" t="str">
        <f t="shared" ref="U78" si="115">+IFERROR(T78/S78,"----")</f>
        <v>----</v>
      </c>
      <c r="V78" s="56"/>
      <c r="W78" s="12"/>
      <c r="X78" s="51">
        <f t="shared" si="88"/>
        <v>156996.40000000002</v>
      </c>
      <c r="Y78" s="57" t="str">
        <f t="shared" ref="Y78" si="116">+IFERROR(X78/W78,"----")</f>
        <v>----</v>
      </c>
      <c r="Z78" s="16"/>
      <c r="AA78" s="28" t="s">
        <v>94</v>
      </c>
      <c r="AB78" s="56"/>
      <c r="AC78" s="12"/>
      <c r="AD78" s="51">
        <f t="shared" si="89"/>
        <v>216591</v>
      </c>
      <c r="AE78" s="32" t="str">
        <f t="shared" ref="AE78" si="117">+IFERROR(AD78/AC78,"----")</f>
        <v>----</v>
      </c>
      <c r="AF78" s="56"/>
      <c r="AG78" s="12"/>
      <c r="AH78" s="51">
        <f t="shared" si="90"/>
        <v>268939.3</v>
      </c>
      <c r="AI78" s="32" t="str">
        <f t="shared" ref="AI78" si="118">+IFERROR(AH78/AG78,"----")</f>
        <v>----</v>
      </c>
      <c r="AJ78" s="56"/>
      <c r="AK78" s="12"/>
      <c r="AL78" s="51">
        <f t="shared" si="91"/>
        <v>167637.19999999998</v>
      </c>
      <c r="AM78" s="32" t="str">
        <f t="shared" ref="AM78" si="119">+IFERROR(AL78/AK78,"----")</f>
        <v>----</v>
      </c>
      <c r="AN78" s="56"/>
      <c r="AO78" s="12"/>
      <c r="AP78" s="51">
        <f t="shared" si="92"/>
        <v>0</v>
      </c>
      <c r="AQ78" s="32" t="str">
        <f t="shared" ref="AQ78" si="120">+IFERROR(AP78/AO78,"----")</f>
        <v>----</v>
      </c>
      <c r="AR78" s="56"/>
      <c r="AS78" s="12"/>
      <c r="AT78" s="51">
        <f t="shared" si="93"/>
        <v>0</v>
      </c>
      <c r="AU78" s="32" t="str">
        <f t="shared" ref="AU78" si="121">+IFERROR(AT78/AS78,"----")</f>
        <v>----</v>
      </c>
      <c r="AV78" s="56"/>
      <c r="AW78" s="12"/>
      <c r="AX78" s="51">
        <f t="shared" si="94"/>
        <v>0</v>
      </c>
      <c r="AY78" s="32" t="str">
        <f t="shared" ref="AY78" si="122">+IFERROR(AX78/AW78,"----")</f>
        <v>----</v>
      </c>
      <c r="AZ78" s="11">
        <f t="shared" ref="AZ78" si="123">B78+F78+J78+N78+R78+V78+AB78+AF78+AJ78+AN78+AR78+AV78</f>
        <v>0</v>
      </c>
      <c r="BA78" s="11">
        <f t="shared" ref="BA78" si="124">C78+G78+K78+O78+S78+W78+AC78+AG78+AK78+AO78+AS78+AW78</f>
        <v>0</v>
      </c>
      <c r="BB78" s="49">
        <f t="shared" ref="BB78" si="125">D78+H78+L78+P78+T78+X78+AD78+AH78+AL78+AP78+AT78+AX78</f>
        <v>1937338.9</v>
      </c>
      <c r="BC78" s="15">
        <v>0</v>
      </c>
    </row>
    <row r="79" spans="1:55" ht="12" customHeight="1" thickBot="1" x14ac:dyDescent="0.35">
      <c r="A79" s="28" t="s">
        <v>32</v>
      </c>
      <c r="B79" s="56">
        <v>57600</v>
      </c>
      <c r="C79" s="12">
        <v>65814</v>
      </c>
      <c r="D79" s="51">
        <f t="shared" si="82"/>
        <v>49140</v>
      </c>
      <c r="E79" s="32">
        <f t="shared" si="98"/>
        <v>0.74664964901084874</v>
      </c>
      <c r="F79" s="56">
        <v>64477.5</v>
      </c>
      <c r="G79" s="12">
        <v>26722.5</v>
      </c>
      <c r="H79" s="51">
        <f t="shared" si="84"/>
        <v>28800</v>
      </c>
      <c r="I79" s="32">
        <f t="shared" si="71"/>
        <v>1.077743474600056</v>
      </c>
      <c r="J79" s="56">
        <v>59190.2</v>
      </c>
      <c r="K79" s="12">
        <v>44076.1</v>
      </c>
      <c r="L79" s="51">
        <f t="shared" si="85"/>
        <v>28800</v>
      </c>
      <c r="M79" s="32">
        <f t="shared" si="72"/>
        <v>0.65341534300902304</v>
      </c>
      <c r="N79" s="56">
        <v>72000</v>
      </c>
      <c r="O79" s="12">
        <v>77462.7</v>
      </c>
      <c r="P79" s="51">
        <f t="shared" si="86"/>
        <v>44523</v>
      </c>
      <c r="Q79" s="32">
        <f t="shared" si="73"/>
        <v>0.5747669523525516</v>
      </c>
      <c r="R79" s="56">
        <v>56892.5</v>
      </c>
      <c r="S79" s="12">
        <v>49959.9</v>
      </c>
      <c r="T79" s="51">
        <f t="shared" si="87"/>
        <v>0</v>
      </c>
      <c r="U79" s="32">
        <f t="shared" si="74"/>
        <v>0</v>
      </c>
      <c r="V79" s="56">
        <v>91554.3</v>
      </c>
      <c r="W79" s="12">
        <v>59916.6</v>
      </c>
      <c r="X79" s="51">
        <f t="shared" si="88"/>
        <v>56817.599999999999</v>
      </c>
      <c r="Y79" s="57">
        <f t="shared" si="75"/>
        <v>0.94827810656812972</v>
      </c>
      <c r="Z79" s="16"/>
      <c r="AA79" s="28" t="s">
        <v>32</v>
      </c>
      <c r="AB79" s="56">
        <v>94380</v>
      </c>
      <c r="AC79" s="12">
        <v>51811.4</v>
      </c>
      <c r="AD79" s="51">
        <f t="shared" si="89"/>
        <v>877608.4</v>
      </c>
      <c r="AE79" s="32">
        <f t="shared" si="76"/>
        <v>16.938519322002495</v>
      </c>
      <c r="AF79" s="56">
        <v>67704</v>
      </c>
      <c r="AG79" s="12">
        <v>55992.3</v>
      </c>
      <c r="AH79" s="51">
        <f t="shared" si="90"/>
        <v>1172624</v>
      </c>
      <c r="AI79" s="32">
        <f t="shared" si="77"/>
        <v>20.942593892374486</v>
      </c>
      <c r="AJ79" s="56">
        <v>86400</v>
      </c>
      <c r="AK79" s="12">
        <v>189919.9</v>
      </c>
      <c r="AL79" s="51">
        <f t="shared" si="91"/>
        <v>934548.89999999991</v>
      </c>
      <c r="AM79" s="32">
        <f t="shared" si="78"/>
        <v>4.9207529068833749</v>
      </c>
      <c r="AN79" s="56">
        <v>83257.5</v>
      </c>
      <c r="AO79" s="12">
        <v>200490.69999999998</v>
      </c>
      <c r="AP79" s="51">
        <f t="shared" si="92"/>
        <v>0</v>
      </c>
      <c r="AQ79" s="32">
        <f t="shared" si="79"/>
        <v>0</v>
      </c>
      <c r="AR79" s="56">
        <v>65768</v>
      </c>
      <c r="AS79" s="12">
        <v>278343.90000000002</v>
      </c>
      <c r="AT79" s="51">
        <f t="shared" si="93"/>
        <v>0</v>
      </c>
      <c r="AU79" s="32">
        <f t="shared" si="80"/>
        <v>0</v>
      </c>
      <c r="AV79" s="56">
        <v>154568.5</v>
      </c>
      <c r="AW79" s="12">
        <v>318630.5</v>
      </c>
      <c r="AX79" s="51">
        <f t="shared" si="94"/>
        <v>0</v>
      </c>
      <c r="AY79" s="32">
        <f t="shared" si="81"/>
        <v>0</v>
      </c>
      <c r="AZ79" s="11">
        <f t="shared" si="95"/>
        <v>953792.5</v>
      </c>
      <c r="BA79" s="11">
        <f t="shared" si="96"/>
        <v>1419140.5</v>
      </c>
      <c r="BB79" s="49">
        <f t="shared" si="97"/>
        <v>3192861.9</v>
      </c>
      <c r="BC79" s="15">
        <v>0</v>
      </c>
    </row>
    <row r="80" spans="1:55" ht="12.75" customHeight="1" thickBot="1" x14ac:dyDescent="0.35">
      <c r="A80" s="29" t="s">
        <v>33</v>
      </c>
      <c r="B80" s="49">
        <v>0</v>
      </c>
      <c r="C80" s="12">
        <v>0</v>
      </c>
      <c r="D80" s="51">
        <f t="shared" si="82"/>
        <v>0</v>
      </c>
      <c r="E80" s="14" t="str">
        <f>+IFERROR(D80/C80,"----")</f>
        <v>----</v>
      </c>
      <c r="F80" s="49">
        <v>0</v>
      </c>
      <c r="G80" s="12">
        <v>0</v>
      </c>
      <c r="H80" s="51">
        <f t="shared" si="84"/>
        <v>0</v>
      </c>
      <c r="I80" s="13" t="str">
        <f t="shared" si="71"/>
        <v>----</v>
      </c>
      <c r="J80" s="49">
        <v>0</v>
      </c>
      <c r="K80" s="12">
        <v>0</v>
      </c>
      <c r="L80" s="51">
        <f t="shared" si="85"/>
        <v>0</v>
      </c>
      <c r="M80" s="13" t="str">
        <f t="shared" si="72"/>
        <v>----</v>
      </c>
      <c r="N80" s="49">
        <v>0</v>
      </c>
      <c r="O80" s="12">
        <v>0</v>
      </c>
      <c r="P80" s="51">
        <f t="shared" si="86"/>
        <v>0</v>
      </c>
      <c r="Q80" s="13" t="str">
        <f t="shared" si="73"/>
        <v>----</v>
      </c>
      <c r="R80" s="49">
        <v>0</v>
      </c>
      <c r="S80" s="12">
        <v>0</v>
      </c>
      <c r="T80" s="51">
        <f t="shared" si="87"/>
        <v>0</v>
      </c>
      <c r="U80" s="13" t="str">
        <f t="shared" si="74"/>
        <v>----</v>
      </c>
      <c r="V80" s="49">
        <v>0</v>
      </c>
      <c r="W80" s="12">
        <v>0</v>
      </c>
      <c r="X80" s="51">
        <f t="shared" si="88"/>
        <v>0</v>
      </c>
      <c r="Y80" s="48" t="str">
        <f t="shared" si="75"/>
        <v>----</v>
      </c>
      <c r="Z80" s="16"/>
      <c r="AA80" s="29" t="s">
        <v>33</v>
      </c>
      <c r="AB80" s="49">
        <v>0</v>
      </c>
      <c r="AC80" s="12">
        <v>0</v>
      </c>
      <c r="AD80" s="51">
        <f t="shared" si="89"/>
        <v>0</v>
      </c>
      <c r="AE80" s="13" t="str">
        <f t="shared" si="76"/>
        <v>----</v>
      </c>
      <c r="AF80" s="49">
        <v>0</v>
      </c>
      <c r="AG80" s="12">
        <v>0</v>
      </c>
      <c r="AH80" s="51">
        <f t="shared" si="90"/>
        <v>0</v>
      </c>
      <c r="AI80" s="13" t="str">
        <f t="shared" si="77"/>
        <v>----</v>
      </c>
      <c r="AJ80" s="49">
        <v>0</v>
      </c>
      <c r="AK80" s="12">
        <v>0</v>
      </c>
      <c r="AL80" s="51">
        <f t="shared" si="91"/>
        <v>0</v>
      </c>
      <c r="AM80" s="13" t="str">
        <f t="shared" si="78"/>
        <v>----</v>
      </c>
      <c r="AN80" s="49">
        <v>0</v>
      </c>
      <c r="AO80" s="12">
        <v>0</v>
      </c>
      <c r="AP80" s="51">
        <f t="shared" si="92"/>
        <v>0</v>
      </c>
      <c r="AQ80" s="13" t="str">
        <f t="shared" si="79"/>
        <v>----</v>
      </c>
      <c r="AR80" s="49">
        <v>0</v>
      </c>
      <c r="AS80" s="12">
        <v>0</v>
      </c>
      <c r="AT80" s="51">
        <f t="shared" si="93"/>
        <v>0</v>
      </c>
      <c r="AU80" s="13" t="str">
        <f t="shared" si="80"/>
        <v>----</v>
      </c>
      <c r="AV80" s="49">
        <v>0</v>
      </c>
      <c r="AW80" s="12">
        <v>0</v>
      </c>
      <c r="AX80" s="51">
        <f t="shared" si="94"/>
        <v>0</v>
      </c>
      <c r="AY80" s="13" t="str">
        <f t="shared" si="81"/>
        <v>----</v>
      </c>
      <c r="AZ80" s="11">
        <f t="shared" si="95"/>
        <v>0</v>
      </c>
      <c r="BA80" s="11">
        <f t="shared" si="96"/>
        <v>0</v>
      </c>
      <c r="BB80" s="49">
        <f t="shared" si="97"/>
        <v>0</v>
      </c>
      <c r="BC80" s="15">
        <v>0</v>
      </c>
    </row>
    <row r="81" spans="1:55" ht="12.75" customHeight="1" thickBot="1" x14ac:dyDescent="0.35">
      <c r="A81" s="30" t="s">
        <v>34</v>
      </c>
      <c r="B81" s="50">
        <v>525219.15</v>
      </c>
      <c r="C81" s="12">
        <v>679150</v>
      </c>
      <c r="D81" s="51">
        <f t="shared" si="82"/>
        <v>649812</v>
      </c>
      <c r="E81" s="24">
        <f t="shared" ref="E81:E85" si="126">+IFERROR(D81/C81,"----")</f>
        <v>0.95680188470882721</v>
      </c>
      <c r="F81" s="50">
        <v>407485.2</v>
      </c>
      <c r="G81" s="12">
        <v>537993</v>
      </c>
      <c r="H81" s="51">
        <f t="shared" si="84"/>
        <v>492032</v>
      </c>
      <c r="I81" s="22">
        <f t="shared" si="71"/>
        <v>0.91456952042126938</v>
      </c>
      <c r="J81" s="50">
        <v>504733.3</v>
      </c>
      <c r="K81" s="12">
        <v>541354</v>
      </c>
      <c r="L81" s="51">
        <f t="shared" si="85"/>
        <v>913455</v>
      </c>
      <c r="M81" s="22">
        <f t="shared" si="72"/>
        <v>1.6873524532930393</v>
      </c>
      <c r="N81" s="50">
        <v>1017826.89</v>
      </c>
      <c r="O81" s="12">
        <v>693544</v>
      </c>
      <c r="P81" s="51">
        <f t="shared" si="86"/>
        <v>1028007</v>
      </c>
      <c r="Q81" s="22">
        <f t="shared" si="73"/>
        <v>1.4822520272686377</v>
      </c>
      <c r="R81" s="50">
        <v>594395.5</v>
      </c>
      <c r="S81" s="12">
        <v>578005</v>
      </c>
      <c r="T81" s="51">
        <f t="shared" si="87"/>
        <v>459340</v>
      </c>
      <c r="U81" s="22">
        <f t="shared" si="74"/>
        <v>0.79469900779405023</v>
      </c>
      <c r="V81" s="50">
        <v>475021.3</v>
      </c>
      <c r="W81" s="12">
        <v>459987</v>
      </c>
      <c r="X81" s="51">
        <f t="shared" si="88"/>
        <v>372542</v>
      </c>
      <c r="Y81" s="52">
        <f t="shared" si="75"/>
        <v>0.80989680143134479</v>
      </c>
      <c r="Z81" s="16"/>
      <c r="AA81" s="30" t="s">
        <v>34</v>
      </c>
      <c r="AB81" s="50">
        <v>736121</v>
      </c>
      <c r="AC81" s="12">
        <v>564489</v>
      </c>
      <c r="AD81" s="51">
        <f t="shared" si="89"/>
        <v>659202</v>
      </c>
      <c r="AE81" s="22">
        <f t="shared" si="76"/>
        <v>1.1677853775715736</v>
      </c>
      <c r="AF81" s="50">
        <v>691221.6</v>
      </c>
      <c r="AG81" s="12">
        <v>734515</v>
      </c>
      <c r="AH81" s="51">
        <f t="shared" si="90"/>
        <v>577217</v>
      </c>
      <c r="AI81" s="22">
        <f t="shared" si="77"/>
        <v>0.78584780433347179</v>
      </c>
      <c r="AJ81" s="50">
        <v>570332.10000000009</v>
      </c>
      <c r="AK81" s="12">
        <v>668409</v>
      </c>
      <c r="AL81" s="51">
        <f t="shared" si="91"/>
        <v>384687</v>
      </c>
      <c r="AM81" s="22">
        <f t="shared" si="78"/>
        <v>0.57552636185329642</v>
      </c>
      <c r="AN81" s="50">
        <v>704461.1</v>
      </c>
      <c r="AO81" s="12">
        <v>743607</v>
      </c>
      <c r="AP81" s="51">
        <f t="shared" si="92"/>
        <v>0</v>
      </c>
      <c r="AQ81" s="22">
        <f t="shared" si="79"/>
        <v>0</v>
      </c>
      <c r="AR81" s="50">
        <v>588673</v>
      </c>
      <c r="AS81" s="12">
        <v>551842</v>
      </c>
      <c r="AT81" s="51">
        <f t="shared" si="93"/>
        <v>0</v>
      </c>
      <c r="AU81" s="22">
        <f t="shared" si="80"/>
        <v>0</v>
      </c>
      <c r="AV81" s="50">
        <v>992577</v>
      </c>
      <c r="AW81" s="12">
        <v>836234</v>
      </c>
      <c r="AX81" s="51">
        <f t="shared" si="94"/>
        <v>0</v>
      </c>
      <c r="AY81" s="22">
        <f t="shared" si="81"/>
        <v>0</v>
      </c>
      <c r="AZ81" s="11">
        <f t="shared" si="95"/>
        <v>7808067.1399999987</v>
      </c>
      <c r="BA81" s="11">
        <f t="shared" si="96"/>
        <v>7589129</v>
      </c>
      <c r="BB81" s="49">
        <f t="shared" si="97"/>
        <v>5536294</v>
      </c>
      <c r="BC81" s="15">
        <v>0</v>
      </c>
    </row>
    <row r="82" spans="1:55" ht="12.75" customHeight="1" thickBot="1" x14ac:dyDescent="0.35">
      <c r="A82" s="20" t="s">
        <v>35</v>
      </c>
      <c r="B82" s="50">
        <v>530192.26</v>
      </c>
      <c r="C82" s="12">
        <v>0</v>
      </c>
      <c r="D82" s="51">
        <f t="shared" si="82"/>
        <v>0</v>
      </c>
      <c r="E82" s="24" t="str">
        <f t="shared" si="126"/>
        <v>----</v>
      </c>
      <c r="F82" s="50">
        <v>280346.26</v>
      </c>
      <c r="G82" s="12">
        <v>0</v>
      </c>
      <c r="H82" s="51">
        <f t="shared" si="84"/>
        <v>0</v>
      </c>
      <c r="I82" s="24" t="str">
        <f t="shared" si="71"/>
        <v>----</v>
      </c>
      <c r="J82" s="50">
        <v>206785.28</v>
      </c>
      <c r="K82" s="12">
        <v>0</v>
      </c>
      <c r="L82" s="51">
        <f t="shared" si="85"/>
        <v>14851.05</v>
      </c>
      <c r="M82" s="22" t="str">
        <f t="shared" si="72"/>
        <v>----</v>
      </c>
      <c r="N82" s="50">
        <v>17646.98</v>
      </c>
      <c r="O82" s="12">
        <v>0</v>
      </c>
      <c r="P82" s="51">
        <f t="shared" si="86"/>
        <v>603.45000000000005</v>
      </c>
      <c r="Q82" s="22" t="str">
        <f t="shared" si="73"/>
        <v>----</v>
      </c>
      <c r="R82" s="50">
        <v>0</v>
      </c>
      <c r="S82" s="12">
        <v>0</v>
      </c>
      <c r="T82" s="51">
        <f t="shared" si="87"/>
        <v>0</v>
      </c>
      <c r="U82" s="22" t="str">
        <f t="shared" si="74"/>
        <v>----</v>
      </c>
      <c r="V82" s="50">
        <v>0</v>
      </c>
      <c r="W82" s="12">
        <v>0</v>
      </c>
      <c r="X82" s="51">
        <f t="shared" si="88"/>
        <v>0</v>
      </c>
      <c r="Y82" s="52" t="str">
        <f t="shared" si="75"/>
        <v>----</v>
      </c>
      <c r="Z82" s="16"/>
      <c r="AA82" s="20" t="s">
        <v>35</v>
      </c>
      <c r="AB82" s="50">
        <v>0</v>
      </c>
      <c r="AC82" s="12">
        <v>0</v>
      </c>
      <c r="AD82" s="51">
        <f t="shared" si="89"/>
        <v>0</v>
      </c>
      <c r="AE82" s="22" t="str">
        <f t="shared" si="76"/>
        <v>----</v>
      </c>
      <c r="AF82" s="50">
        <v>0</v>
      </c>
      <c r="AG82" s="12">
        <v>0</v>
      </c>
      <c r="AH82" s="51">
        <f t="shared" si="90"/>
        <v>0</v>
      </c>
      <c r="AI82" s="22" t="str">
        <f t="shared" si="77"/>
        <v>----</v>
      </c>
      <c r="AJ82" s="50">
        <v>0</v>
      </c>
      <c r="AK82" s="12">
        <v>0</v>
      </c>
      <c r="AL82" s="51">
        <f t="shared" si="91"/>
        <v>0</v>
      </c>
      <c r="AM82" s="22" t="str">
        <f t="shared" si="78"/>
        <v>----</v>
      </c>
      <c r="AN82" s="50">
        <v>0</v>
      </c>
      <c r="AO82" s="12">
        <v>11655</v>
      </c>
      <c r="AP82" s="51">
        <f t="shared" si="92"/>
        <v>0</v>
      </c>
      <c r="AQ82" s="22">
        <f t="shared" si="79"/>
        <v>0</v>
      </c>
      <c r="AR82" s="50">
        <v>0</v>
      </c>
      <c r="AS82" s="12">
        <v>240</v>
      </c>
      <c r="AT82" s="51">
        <f t="shared" si="93"/>
        <v>0</v>
      </c>
      <c r="AU82" s="22">
        <f t="shared" si="80"/>
        <v>0</v>
      </c>
      <c r="AV82" s="50">
        <v>0</v>
      </c>
      <c r="AW82" s="12">
        <v>0</v>
      </c>
      <c r="AX82" s="51">
        <f t="shared" si="94"/>
        <v>0</v>
      </c>
      <c r="AY82" s="22" t="str">
        <f t="shared" si="81"/>
        <v>----</v>
      </c>
      <c r="AZ82" s="11">
        <f t="shared" si="95"/>
        <v>1034970.78</v>
      </c>
      <c r="BA82" s="11">
        <f t="shared" si="96"/>
        <v>11895</v>
      </c>
      <c r="BB82" s="49">
        <f t="shared" si="97"/>
        <v>15454.5</v>
      </c>
      <c r="BC82" s="15">
        <v>0</v>
      </c>
    </row>
    <row r="83" spans="1:55" ht="12.75" customHeight="1" thickBot="1" x14ac:dyDescent="0.35">
      <c r="A83" s="20" t="s">
        <v>36</v>
      </c>
      <c r="B83" s="50">
        <v>2064987.61</v>
      </c>
      <c r="C83" s="12">
        <v>3007075.3045409997</v>
      </c>
      <c r="D83" s="51">
        <f t="shared" si="82"/>
        <v>2602656.2000000002</v>
      </c>
      <c r="E83" s="22">
        <f t="shared" si="126"/>
        <v>0.86551081579823286</v>
      </c>
      <c r="F83" s="50">
        <v>1410773.3</v>
      </c>
      <c r="G83" s="12">
        <v>2078998.85</v>
      </c>
      <c r="H83" s="51">
        <f t="shared" si="84"/>
        <v>2151812.0499999998</v>
      </c>
      <c r="I83" s="22">
        <f t="shared" si="71"/>
        <v>1.0350232035962885</v>
      </c>
      <c r="J83" s="50">
        <v>2292310.69</v>
      </c>
      <c r="K83" s="12">
        <v>3036561.17</v>
      </c>
      <c r="L83" s="51">
        <f t="shared" si="85"/>
        <v>3712127.98</v>
      </c>
      <c r="M83" s="22">
        <f t="shared" si="72"/>
        <v>1.2224775896742432</v>
      </c>
      <c r="N83" s="50">
        <v>339672.08</v>
      </c>
      <c r="O83" s="12">
        <v>1179411.3400000001</v>
      </c>
      <c r="P83" s="51">
        <f t="shared" si="86"/>
        <v>1253592.6803000001</v>
      </c>
      <c r="Q83" s="22">
        <f t="shared" si="73"/>
        <v>1.062896919661634</v>
      </c>
      <c r="R83" s="50">
        <v>3989623.93</v>
      </c>
      <c r="S83" s="12">
        <v>1874473.8459719999</v>
      </c>
      <c r="T83" s="51">
        <f t="shared" si="87"/>
        <v>1825594.28</v>
      </c>
      <c r="U83" s="22">
        <f t="shared" si="74"/>
        <v>0.9739235807013068</v>
      </c>
      <c r="V83" s="50">
        <v>1975076.62</v>
      </c>
      <c r="W83" s="12">
        <v>1447181.8145399985</v>
      </c>
      <c r="X83" s="51">
        <f t="shared" si="88"/>
        <v>2088902.49</v>
      </c>
      <c r="Y83" s="52">
        <f t="shared" si="75"/>
        <v>1.4434278188217691</v>
      </c>
      <c r="Z83" s="16"/>
      <c r="AA83" s="20" t="s">
        <v>36</v>
      </c>
      <c r="AB83" s="50">
        <v>1059525.0301999999</v>
      </c>
      <c r="AC83" s="12">
        <v>2112487.56</v>
      </c>
      <c r="AD83" s="51">
        <f t="shared" si="89"/>
        <v>2751905</v>
      </c>
      <c r="AE83" s="22">
        <f t="shared" si="76"/>
        <v>1.3026845942704628</v>
      </c>
      <c r="AF83" s="50">
        <v>624717.85832999973</v>
      </c>
      <c r="AG83" s="12">
        <v>2911360.16</v>
      </c>
      <c r="AH83" s="51">
        <f t="shared" si="90"/>
        <v>3026469.7861500005</v>
      </c>
      <c r="AI83" s="22">
        <f t="shared" si="77"/>
        <v>1.0395380921026276</v>
      </c>
      <c r="AJ83" s="50">
        <v>1005460.62</v>
      </c>
      <c r="AK83" s="12">
        <v>1208491.9223999993</v>
      </c>
      <c r="AL83" s="51">
        <f t="shared" si="91"/>
        <v>1410376.39</v>
      </c>
      <c r="AM83" s="22">
        <f t="shared" si="78"/>
        <v>1.167054875467491</v>
      </c>
      <c r="AN83" s="50">
        <v>1098361.3825599998</v>
      </c>
      <c r="AO83" s="12">
        <v>1988738.37</v>
      </c>
      <c r="AP83" s="51">
        <f t="shared" si="92"/>
        <v>0</v>
      </c>
      <c r="AQ83" s="22">
        <f t="shared" si="79"/>
        <v>0</v>
      </c>
      <c r="AR83" s="50">
        <v>1538198.26</v>
      </c>
      <c r="AS83" s="12">
        <v>1953014.2333999993</v>
      </c>
      <c r="AT83" s="51">
        <f t="shared" si="93"/>
        <v>0</v>
      </c>
      <c r="AU83" s="22">
        <f t="shared" si="80"/>
        <v>0</v>
      </c>
      <c r="AV83" s="50">
        <v>2320241.7799999998</v>
      </c>
      <c r="AW83" s="12">
        <v>3183164.92</v>
      </c>
      <c r="AX83" s="51">
        <f t="shared" si="94"/>
        <v>0</v>
      </c>
      <c r="AY83" s="22">
        <f t="shared" si="81"/>
        <v>0</v>
      </c>
      <c r="AZ83" s="11">
        <f t="shared" si="95"/>
        <v>19718949.161090001</v>
      </c>
      <c r="BA83" s="11">
        <f t="shared" si="96"/>
        <v>25980959.490852997</v>
      </c>
      <c r="BB83" s="49">
        <f t="shared" si="97"/>
        <v>20823436.856450003</v>
      </c>
      <c r="BC83" s="15">
        <v>0</v>
      </c>
    </row>
    <row r="84" spans="1:55" ht="12.75" customHeight="1" thickBot="1" x14ac:dyDescent="0.35">
      <c r="A84" s="20" t="s">
        <v>37</v>
      </c>
      <c r="B84" s="50">
        <v>258508.77</v>
      </c>
      <c r="C84" s="12">
        <v>146424.25999999998</v>
      </c>
      <c r="D84" s="51">
        <f t="shared" si="82"/>
        <v>128735.44999999998</v>
      </c>
      <c r="E84" s="24">
        <f t="shared" si="126"/>
        <v>0.87919481375558939</v>
      </c>
      <c r="F84" s="50">
        <v>181664.96</v>
      </c>
      <c r="G84" s="12">
        <v>124683.54</v>
      </c>
      <c r="H84" s="51">
        <f t="shared" si="84"/>
        <v>95612.059999999969</v>
      </c>
      <c r="I84" s="22">
        <f t="shared" si="71"/>
        <v>0.76683786809389576</v>
      </c>
      <c r="J84" s="50">
        <v>152844.14000000001</v>
      </c>
      <c r="K84" s="12">
        <v>76482.989999999991</v>
      </c>
      <c r="L84" s="51">
        <f t="shared" si="85"/>
        <v>71436.78</v>
      </c>
      <c r="M84" s="22">
        <f t="shared" si="72"/>
        <v>0.93402180014144331</v>
      </c>
      <c r="N84" s="50">
        <v>128500.7</v>
      </c>
      <c r="O84" s="12">
        <v>90164.539999999964</v>
      </c>
      <c r="P84" s="51">
        <f t="shared" si="86"/>
        <v>46018.329999999994</v>
      </c>
      <c r="Q84" s="22">
        <f t="shared" si="73"/>
        <v>0.51038168663645389</v>
      </c>
      <c r="R84" s="50">
        <v>132484.71</v>
      </c>
      <c r="S84" s="12">
        <v>107013.83000000002</v>
      </c>
      <c r="T84" s="51">
        <f t="shared" si="87"/>
        <v>55836.469999999987</v>
      </c>
      <c r="U84" s="22">
        <f t="shared" si="74"/>
        <v>0.52176872839706767</v>
      </c>
      <c r="V84" s="50">
        <v>125505.9</v>
      </c>
      <c r="W84" s="12">
        <v>98537.37</v>
      </c>
      <c r="X84" s="51">
        <f t="shared" si="88"/>
        <v>50829.070000000007</v>
      </c>
      <c r="Y84" s="52">
        <f t="shared" si="75"/>
        <v>0.5158354642507712</v>
      </c>
      <c r="Z84" s="16"/>
      <c r="AA84" s="20" t="s">
        <v>37</v>
      </c>
      <c r="AB84" s="50">
        <v>115250.45999999999</v>
      </c>
      <c r="AC84" s="12">
        <v>68575.099999999991</v>
      </c>
      <c r="AD84" s="51">
        <f t="shared" si="89"/>
        <v>39574.720000000001</v>
      </c>
      <c r="AE84" s="22">
        <f t="shared" si="76"/>
        <v>0.57710043441424086</v>
      </c>
      <c r="AF84" s="50">
        <v>120473.92000000003</v>
      </c>
      <c r="AG84" s="12">
        <v>70700.08</v>
      </c>
      <c r="AH84" s="51">
        <f t="shared" si="90"/>
        <v>63017.07</v>
      </c>
      <c r="AI84" s="22">
        <f t="shared" si="77"/>
        <v>0.89132954305002199</v>
      </c>
      <c r="AJ84" s="50">
        <v>130121.69</v>
      </c>
      <c r="AK84" s="12">
        <v>81381.689999999988</v>
      </c>
      <c r="AL84" s="51">
        <f t="shared" si="91"/>
        <v>77824.23</v>
      </c>
      <c r="AM84" s="22">
        <f t="shared" si="78"/>
        <v>0.95628672739531473</v>
      </c>
      <c r="AN84" s="50">
        <v>95397.23</v>
      </c>
      <c r="AO84" s="12">
        <v>83212.719999999972</v>
      </c>
      <c r="AP84" s="51">
        <f t="shared" si="92"/>
        <v>0</v>
      </c>
      <c r="AQ84" s="22">
        <f t="shared" si="79"/>
        <v>0</v>
      </c>
      <c r="AR84" s="50">
        <v>96327.87999999999</v>
      </c>
      <c r="AS84" s="12">
        <v>63012.779999999992</v>
      </c>
      <c r="AT84" s="51">
        <f t="shared" si="93"/>
        <v>0</v>
      </c>
      <c r="AU84" s="22">
        <f t="shared" si="80"/>
        <v>0</v>
      </c>
      <c r="AV84" s="50">
        <v>89694.24</v>
      </c>
      <c r="AW84" s="12">
        <v>78344.489999999976</v>
      </c>
      <c r="AX84" s="51">
        <f t="shared" si="94"/>
        <v>0</v>
      </c>
      <c r="AY84" s="22">
        <f t="shared" si="81"/>
        <v>0</v>
      </c>
      <c r="AZ84" s="11">
        <f t="shared" si="95"/>
        <v>1626774.5999999996</v>
      </c>
      <c r="BA84" s="11">
        <f t="shared" si="96"/>
        <v>1088533.3899999997</v>
      </c>
      <c r="BB84" s="49">
        <f t="shared" si="97"/>
        <v>628884.17999999982</v>
      </c>
      <c r="BC84" s="15">
        <v>0</v>
      </c>
    </row>
    <row r="85" spans="1:55" ht="14.25" customHeight="1" thickBot="1" x14ac:dyDescent="0.35">
      <c r="A85" s="20" t="s">
        <v>38</v>
      </c>
      <c r="B85" s="50">
        <v>58733.64</v>
      </c>
      <c r="C85" s="12">
        <v>0</v>
      </c>
      <c r="D85" s="51">
        <f t="shared" si="82"/>
        <v>0</v>
      </c>
      <c r="E85" s="24" t="str">
        <f t="shared" si="126"/>
        <v>----</v>
      </c>
      <c r="F85" s="50">
        <v>0</v>
      </c>
      <c r="G85" s="12">
        <v>0</v>
      </c>
      <c r="H85" s="51">
        <f t="shared" si="84"/>
        <v>0</v>
      </c>
      <c r="I85" s="24" t="str">
        <f t="shared" si="71"/>
        <v>----</v>
      </c>
      <c r="J85" s="50">
        <v>0</v>
      </c>
      <c r="K85" s="12">
        <v>0</v>
      </c>
      <c r="L85" s="51">
        <f t="shared" si="85"/>
        <v>0</v>
      </c>
      <c r="M85" s="22" t="str">
        <f t="shared" si="72"/>
        <v>----</v>
      </c>
      <c r="N85" s="50">
        <v>0</v>
      </c>
      <c r="O85" s="12">
        <v>0</v>
      </c>
      <c r="P85" s="51">
        <f t="shared" si="86"/>
        <v>0</v>
      </c>
      <c r="Q85" s="22" t="str">
        <f t="shared" si="73"/>
        <v>----</v>
      </c>
      <c r="R85" s="50">
        <v>0</v>
      </c>
      <c r="S85" s="12">
        <v>578005</v>
      </c>
      <c r="T85" s="51">
        <f t="shared" si="87"/>
        <v>0</v>
      </c>
      <c r="U85" s="22">
        <f t="shared" si="74"/>
        <v>0</v>
      </c>
      <c r="V85" s="50">
        <v>0</v>
      </c>
      <c r="W85" s="12">
        <v>0</v>
      </c>
      <c r="X85" s="51">
        <f t="shared" si="88"/>
        <v>0</v>
      </c>
      <c r="Y85" s="52" t="str">
        <f t="shared" si="75"/>
        <v>----</v>
      </c>
      <c r="Z85" s="16"/>
      <c r="AA85" s="20" t="s">
        <v>38</v>
      </c>
      <c r="AB85" s="50">
        <v>0</v>
      </c>
      <c r="AC85" s="12">
        <v>0</v>
      </c>
      <c r="AD85" s="51">
        <f t="shared" si="89"/>
        <v>0</v>
      </c>
      <c r="AE85" s="22" t="str">
        <f t="shared" si="76"/>
        <v>----</v>
      </c>
      <c r="AF85" s="50">
        <v>0</v>
      </c>
      <c r="AG85" s="12">
        <v>0</v>
      </c>
      <c r="AH85" s="51">
        <f t="shared" si="90"/>
        <v>0</v>
      </c>
      <c r="AI85" s="22" t="str">
        <f t="shared" si="77"/>
        <v>----</v>
      </c>
      <c r="AJ85" s="50">
        <v>0</v>
      </c>
      <c r="AK85" s="12">
        <v>0</v>
      </c>
      <c r="AL85" s="51">
        <f t="shared" si="91"/>
        <v>0</v>
      </c>
      <c r="AM85" s="22" t="str">
        <f t="shared" si="78"/>
        <v>----</v>
      </c>
      <c r="AN85" s="50">
        <v>0</v>
      </c>
      <c r="AO85" s="12">
        <v>0</v>
      </c>
      <c r="AP85" s="51">
        <f t="shared" si="92"/>
        <v>0</v>
      </c>
      <c r="AQ85" s="22" t="str">
        <f t="shared" si="79"/>
        <v>----</v>
      </c>
      <c r="AR85" s="50">
        <v>0</v>
      </c>
      <c r="AS85" s="12">
        <v>0</v>
      </c>
      <c r="AT85" s="51">
        <f t="shared" si="93"/>
        <v>0</v>
      </c>
      <c r="AU85" s="22" t="str">
        <f t="shared" si="80"/>
        <v>----</v>
      </c>
      <c r="AV85" s="50">
        <v>0</v>
      </c>
      <c r="AW85" s="12">
        <v>0</v>
      </c>
      <c r="AX85" s="51">
        <f t="shared" si="94"/>
        <v>0</v>
      </c>
      <c r="AY85" s="22" t="str">
        <f t="shared" si="81"/>
        <v>----</v>
      </c>
      <c r="AZ85" s="11">
        <f t="shared" si="95"/>
        <v>58733.64</v>
      </c>
      <c r="BA85" s="11">
        <f t="shared" si="96"/>
        <v>578005</v>
      </c>
      <c r="BB85" s="49">
        <f t="shared" si="97"/>
        <v>0</v>
      </c>
      <c r="BC85" s="15">
        <v>0</v>
      </c>
    </row>
    <row r="86" spans="1:55" ht="12.75" customHeight="1" thickBot="1" x14ac:dyDescent="0.35">
      <c r="A86" s="20" t="s">
        <v>39</v>
      </c>
      <c r="B86" s="49">
        <v>0</v>
      </c>
      <c r="C86" s="12">
        <v>0</v>
      </c>
      <c r="D86" s="51">
        <f t="shared" si="82"/>
        <v>0</v>
      </c>
      <c r="E86" s="14" t="str">
        <f>+IFERROR(D86/C86,"----")</f>
        <v>----</v>
      </c>
      <c r="F86" s="49">
        <v>0</v>
      </c>
      <c r="G86" s="12">
        <v>0</v>
      </c>
      <c r="H86" s="51">
        <f t="shared" si="84"/>
        <v>0</v>
      </c>
      <c r="I86" s="13" t="str">
        <f t="shared" si="71"/>
        <v>----</v>
      </c>
      <c r="J86" s="49">
        <v>0</v>
      </c>
      <c r="K86" s="12">
        <v>0</v>
      </c>
      <c r="L86" s="51">
        <f>L29</f>
        <v>0</v>
      </c>
      <c r="M86" s="13" t="str">
        <f t="shared" si="72"/>
        <v>----</v>
      </c>
      <c r="N86" s="49">
        <v>0</v>
      </c>
      <c r="O86" s="12">
        <v>0</v>
      </c>
      <c r="P86" s="51">
        <f t="shared" si="86"/>
        <v>0</v>
      </c>
      <c r="Q86" s="13" t="str">
        <f t="shared" si="73"/>
        <v>----</v>
      </c>
      <c r="R86" s="49">
        <v>0</v>
      </c>
      <c r="S86" s="12">
        <v>0</v>
      </c>
      <c r="T86" s="51">
        <f t="shared" si="87"/>
        <v>0</v>
      </c>
      <c r="U86" s="13" t="str">
        <f t="shared" si="74"/>
        <v>----</v>
      </c>
      <c r="V86" s="49">
        <v>0</v>
      </c>
      <c r="W86" s="12">
        <v>0</v>
      </c>
      <c r="X86" s="51">
        <f t="shared" si="88"/>
        <v>0</v>
      </c>
      <c r="Y86" s="48" t="str">
        <f t="shared" si="75"/>
        <v>----</v>
      </c>
      <c r="Z86" s="16"/>
      <c r="AA86" s="20" t="s">
        <v>39</v>
      </c>
      <c r="AB86" s="49">
        <v>0</v>
      </c>
      <c r="AC86" s="12">
        <v>0</v>
      </c>
      <c r="AD86" s="51">
        <f t="shared" si="89"/>
        <v>0</v>
      </c>
      <c r="AE86" s="13" t="str">
        <f t="shared" si="76"/>
        <v>----</v>
      </c>
      <c r="AF86" s="49">
        <v>0</v>
      </c>
      <c r="AG86" s="12">
        <v>0</v>
      </c>
      <c r="AH86" s="51">
        <f t="shared" si="90"/>
        <v>0</v>
      </c>
      <c r="AI86" s="13" t="str">
        <f t="shared" si="77"/>
        <v>----</v>
      </c>
      <c r="AJ86" s="49">
        <v>0</v>
      </c>
      <c r="AK86" s="12">
        <v>0</v>
      </c>
      <c r="AL86" s="51">
        <f t="shared" si="91"/>
        <v>0</v>
      </c>
      <c r="AM86" s="13" t="str">
        <f t="shared" si="78"/>
        <v>----</v>
      </c>
      <c r="AN86" s="49">
        <v>0</v>
      </c>
      <c r="AO86" s="12">
        <v>0</v>
      </c>
      <c r="AP86" s="51">
        <f t="shared" si="92"/>
        <v>0</v>
      </c>
      <c r="AQ86" s="13" t="str">
        <f t="shared" si="79"/>
        <v>----</v>
      </c>
      <c r="AR86" s="49">
        <v>0</v>
      </c>
      <c r="AS86" s="12">
        <v>0</v>
      </c>
      <c r="AT86" s="51">
        <f t="shared" si="93"/>
        <v>0</v>
      </c>
      <c r="AU86" s="13" t="str">
        <f t="shared" si="80"/>
        <v>----</v>
      </c>
      <c r="AV86" s="49">
        <v>0</v>
      </c>
      <c r="AW86" s="12">
        <v>0</v>
      </c>
      <c r="AX86" s="51">
        <f t="shared" si="94"/>
        <v>0</v>
      </c>
      <c r="AY86" s="13" t="str">
        <f t="shared" si="81"/>
        <v>----</v>
      </c>
      <c r="AZ86" s="11">
        <f t="shared" si="95"/>
        <v>0</v>
      </c>
      <c r="BA86" s="11">
        <f t="shared" si="96"/>
        <v>0</v>
      </c>
      <c r="BB86" s="49">
        <f t="shared" si="97"/>
        <v>0</v>
      </c>
      <c r="BC86" s="15">
        <v>0</v>
      </c>
    </row>
    <row r="87" spans="1:55" ht="12.75" customHeight="1" thickBot="1" x14ac:dyDescent="0.35">
      <c r="A87" s="20" t="s">
        <v>40</v>
      </c>
      <c r="B87" s="49">
        <v>8302.5</v>
      </c>
      <c r="C87" s="12">
        <v>5010</v>
      </c>
      <c r="D87" s="51">
        <f t="shared" si="82"/>
        <v>3066.23</v>
      </c>
      <c r="E87" s="14">
        <f>+IFERROR(D87/C87,"----")</f>
        <v>0.61202195608782439</v>
      </c>
      <c r="F87" s="49">
        <v>13427.5</v>
      </c>
      <c r="G87" s="12">
        <v>5155</v>
      </c>
      <c r="H87" s="51">
        <f t="shared" si="84"/>
        <v>13877.64</v>
      </c>
      <c r="I87" s="13">
        <f t="shared" si="71"/>
        <v>2.6920737148399612</v>
      </c>
      <c r="J87" s="49">
        <v>8977.5</v>
      </c>
      <c r="K87" s="12">
        <v>5190</v>
      </c>
      <c r="L87" s="51">
        <f>L30</f>
        <v>21623.75</v>
      </c>
      <c r="M87" s="13">
        <f t="shared" si="72"/>
        <v>4.1664258188824661</v>
      </c>
      <c r="N87" s="49">
        <v>44015</v>
      </c>
      <c r="O87" s="12">
        <v>0</v>
      </c>
      <c r="P87" s="51">
        <f t="shared" si="86"/>
        <v>5610</v>
      </c>
      <c r="Q87" s="13" t="str">
        <f t="shared" si="73"/>
        <v>----</v>
      </c>
      <c r="R87" s="49">
        <v>22969</v>
      </c>
      <c r="S87" s="12">
        <v>5043</v>
      </c>
      <c r="T87" s="51">
        <f t="shared" si="87"/>
        <v>5960</v>
      </c>
      <c r="U87" s="13">
        <f t="shared" si="74"/>
        <v>1.1818362086059886</v>
      </c>
      <c r="V87" s="49">
        <v>5998</v>
      </c>
      <c r="W87" s="12">
        <v>0</v>
      </c>
      <c r="X87" s="51">
        <f t="shared" si="88"/>
        <v>12796</v>
      </c>
      <c r="Y87" s="48" t="str">
        <f t="shared" si="75"/>
        <v>----</v>
      </c>
      <c r="Z87" s="16"/>
      <c r="AA87" s="20" t="s">
        <v>40</v>
      </c>
      <c r="AB87" s="49">
        <v>7038</v>
      </c>
      <c r="AC87" s="12">
        <v>5078</v>
      </c>
      <c r="AD87" s="51">
        <f t="shared" si="89"/>
        <v>14964</v>
      </c>
      <c r="AE87" s="13">
        <f t="shared" si="76"/>
        <v>2.9468294604174874</v>
      </c>
      <c r="AF87" s="49">
        <v>18600</v>
      </c>
      <c r="AG87" s="12">
        <v>0</v>
      </c>
      <c r="AH87" s="51">
        <f t="shared" si="90"/>
        <v>20070</v>
      </c>
      <c r="AI87" s="13" t="str">
        <f t="shared" si="77"/>
        <v>----</v>
      </c>
      <c r="AJ87" s="49">
        <v>7555</v>
      </c>
      <c r="AK87" s="12">
        <v>4968</v>
      </c>
      <c r="AL87" s="51">
        <f t="shared" si="91"/>
        <v>10314</v>
      </c>
      <c r="AM87" s="13">
        <f t="shared" si="78"/>
        <v>2.0760869565217392</v>
      </c>
      <c r="AN87" s="49">
        <v>5099</v>
      </c>
      <c r="AO87" s="12">
        <v>10127</v>
      </c>
      <c r="AP87" s="51">
        <f t="shared" si="92"/>
        <v>0</v>
      </c>
      <c r="AQ87" s="13">
        <f t="shared" si="79"/>
        <v>0</v>
      </c>
      <c r="AR87" s="49">
        <v>4995</v>
      </c>
      <c r="AS87" s="12">
        <v>9956</v>
      </c>
      <c r="AT87" s="51">
        <f t="shared" si="93"/>
        <v>0</v>
      </c>
      <c r="AU87" s="13">
        <f t="shared" si="80"/>
        <v>0</v>
      </c>
      <c r="AV87" s="49">
        <v>3758</v>
      </c>
      <c r="AW87" s="12">
        <v>9761.4600000000009</v>
      </c>
      <c r="AX87" s="51">
        <f t="shared" si="94"/>
        <v>0</v>
      </c>
      <c r="AY87" s="13">
        <f t="shared" si="81"/>
        <v>0</v>
      </c>
      <c r="AZ87" s="11">
        <f t="shared" si="95"/>
        <v>150734.5</v>
      </c>
      <c r="BA87" s="11">
        <f t="shared" si="96"/>
        <v>60288.46</v>
      </c>
      <c r="BB87" s="49">
        <f t="shared" si="97"/>
        <v>108281.62</v>
      </c>
      <c r="BC87" s="15">
        <v>0</v>
      </c>
    </row>
    <row r="88" spans="1:55" ht="12.75" customHeight="1" thickBot="1" x14ac:dyDescent="0.35">
      <c r="A88" s="29" t="s">
        <v>41</v>
      </c>
      <c r="B88" s="50">
        <v>0</v>
      </c>
      <c r="C88" s="12">
        <v>0</v>
      </c>
      <c r="D88" s="51">
        <f t="shared" si="82"/>
        <v>0</v>
      </c>
      <c r="E88" s="24" t="str">
        <f t="shared" ref="E88:E97" si="127">+IFERROR(D88/C88,"----")</f>
        <v>----</v>
      </c>
      <c r="F88" s="50">
        <v>0</v>
      </c>
      <c r="G88" s="12">
        <v>0</v>
      </c>
      <c r="H88" s="51">
        <f t="shared" si="84"/>
        <v>0</v>
      </c>
      <c r="I88" s="22" t="str">
        <f t="shared" si="71"/>
        <v>----</v>
      </c>
      <c r="J88" s="50">
        <v>0</v>
      </c>
      <c r="K88" s="12">
        <v>0</v>
      </c>
      <c r="L88" s="51">
        <f t="shared" si="85"/>
        <v>0</v>
      </c>
      <c r="M88" s="22" t="str">
        <f t="shared" si="72"/>
        <v>----</v>
      </c>
      <c r="N88" s="50">
        <v>0</v>
      </c>
      <c r="O88" s="12">
        <v>0</v>
      </c>
      <c r="P88" s="51">
        <f t="shared" si="86"/>
        <v>0</v>
      </c>
      <c r="Q88" s="22" t="str">
        <f t="shared" si="73"/>
        <v>----</v>
      </c>
      <c r="R88" s="50">
        <v>0</v>
      </c>
      <c r="S88" s="12">
        <v>0</v>
      </c>
      <c r="T88" s="51">
        <f t="shared" si="87"/>
        <v>0</v>
      </c>
      <c r="U88" s="22" t="str">
        <f t="shared" si="74"/>
        <v>----</v>
      </c>
      <c r="V88" s="50">
        <v>0</v>
      </c>
      <c r="W88" s="12">
        <v>0</v>
      </c>
      <c r="X88" s="51">
        <f t="shared" si="88"/>
        <v>0</v>
      </c>
      <c r="Y88" s="52" t="str">
        <f t="shared" si="75"/>
        <v>----</v>
      </c>
      <c r="Z88" s="16"/>
      <c r="AA88" s="29" t="s">
        <v>41</v>
      </c>
      <c r="AB88" s="50">
        <v>0</v>
      </c>
      <c r="AC88" s="12">
        <v>0</v>
      </c>
      <c r="AD88" s="51">
        <f t="shared" si="89"/>
        <v>0</v>
      </c>
      <c r="AE88" s="22" t="str">
        <f t="shared" si="76"/>
        <v>----</v>
      </c>
      <c r="AF88" s="50">
        <v>0</v>
      </c>
      <c r="AG88" s="12">
        <v>0</v>
      </c>
      <c r="AH88" s="51">
        <f t="shared" si="90"/>
        <v>0</v>
      </c>
      <c r="AI88" s="22" t="str">
        <f t="shared" si="77"/>
        <v>----</v>
      </c>
      <c r="AJ88" s="50">
        <v>0</v>
      </c>
      <c r="AK88" s="12">
        <v>0</v>
      </c>
      <c r="AL88" s="51">
        <f t="shared" si="91"/>
        <v>0</v>
      </c>
      <c r="AM88" s="22" t="str">
        <f t="shared" si="78"/>
        <v>----</v>
      </c>
      <c r="AN88" s="50">
        <v>0</v>
      </c>
      <c r="AO88" s="12">
        <v>0</v>
      </c>
      <c r="AP88" s="51">
        <f t="shared" si="92"/>
        <v>0</v>
      </c>
      <c r="AQ88" s="22" t="str">
        <f t="shared" si="79"/>
        <v>----</v>
      </c>
      <c r="AR88" s="50">
        <v>0</v>
      </c>
      <c r="AS88" s="12">
        <v>0</v>
      </c>
      <c r="AT88" s="51">
        <f t="shared" si="93"/>
        <v>0</v>
      </c>
      <c r="AU88" s="22" t="str">
        <f t="shared" si="80"/>
        <v>----</v>
      </c>
      <c r="AV88" s="50">
        <v>0</v>
      </c>
      <c r="AW88" s="12">
        <v>0</v>
      </c>
      <c r="AX88" s="51">
        <f t="shared" si="94"/>
        <v>0</v>
      </c>
      <c r="AY88" s="22" t="str">
        <f t="shared" si="81"/>
        <v>----</v>
      </c>
      <c r="AZ88" s="11">
        <f t="shared" si="95"/>
        <v>0</v>
      </c>
      <c r="BA88" s="11">
        <f t="shared" si="96"/>
        <v>0</v>
      </c>
      <c r="BB88" s="49">
        <f t="shared" si="97"/>
        <v>0</v>
      </c>
      <c r="BC88" s="15">
        <v>0</v>
      </c>
    </row>
    <row r="89" spans="1:55" ht="12.75" customHeight="1" thickBot="1" x14ac:dyDescent="0.35">
      <c r="A89" s="20" t="s">
        <v>42</v>
      </c>
      <c r="B89" s="50">
        <v>224508.4</v>
      </c>
      <c r="C89" s="12">
        <v>690431.5</v>
      </c>
      <c r="D89" s="51">
        <f t="shared" si="82"/>
        <v>181674.1</v>
      </c>
      <c r="E89" s="24">
        <f t="shared" si="127"/>
        <v>0.26313124473608174</v>
      </c>
      <c r="F89" s="50">
        <v>256929.5</v>
      </c>
      <c r="G89" s="12">
        <v>503999.1</v>
      </c>
      <c r="H89" s="51">
        <f t="shared" si="84"/>
        <v>542511.69999999995</v>
      </c>
      <c r="I89" s="24">
        <f t="shared" si="71"/>
        <v>1.0764140253425056</v>
      </c>
      <c r="J89" s="50">
        <v>224118.8</v>
      </c>
      <c r="K89" s="12">
        <v>260504.9</v>
      </c>
      <c r="L89" s="51">
        <f t="shared" si="85"/>
        <v>240663.5</v>
      </c>
      <c r="M89" s="22">
        <f t="shared" si="72"/>
        <v>0.92383482997824606</v>
      </c>
      <c r="N89" s="50">
        <v>218281.7</v>
      </c>
      <c r="O89" s="12">
        <v>19443.400000000001</v>
      </c>
      <c r="P89" s="51">
        <f t="shared" si="86"/>
        <v>469387.19999999995</v>
      </c>
      <c r="Q89" s="22">
        <f t="shared" si="73"/>
        <v>24.141209870701623</v>
      </c>
      <c r="R89" s="50">
        <v>281942.09999999998</v>
      </c>
      <c r="S89" s="12">
        <v>343575.7</v>
      </c>
      <c r="T89" s="51">
        <f t="shared" si="87"/>
        <v>406898.5</v>
      </c>
      <c r="U89" s="22">
        <f t="shared" si="74"/>
        <v>1.1843052346251495</v>
      </c>
      <c r="V89" s="50">
        <v>243716.2</v>
      </c>
      <c r="W89" s="12">
        <v>418364</v>
      </c>
      <c r="X89" s="51">
        <f t="shared" si="88"/>
        <v>44574</v>
      </c>
      <c r="Y89" s="52">
        <f t="shared" si="75"/>
        <v>0.10654358405598952</v>
      </c>
      <c r="Z89" s="16"/>
      <c r="AA89" s="20" t="s">
        <v>42</v>
      </c>
      <c r="AB89" s="50">
        <v>176540.19999999998</v>
      </c>
      <c r="AC89" s="12">
        <v>241266.2</v>
      </c>
      <c r="AD89" s="51">
        <f t="shared" si="89"/>
        <v>422701.7</v>
      </c>
      <c r="AE89" s="22">
        <f t="shared" si="76"/>
        <v>1.7520137507864757</v>
      </c>
      <c r="AF89" s="50">
        <v>240006.9</v>
      </c>
      <c r="AG89" s="12">
        <v>320946.3</v>
      </c>
      <c r="AH89" s="51">
        <f t="shared" si="90"/>
        <v>398179.39999999997</v>
      </c>
      <c r="AI89" s="22">
        <f t="shared" si="77"/>
        <v>1.2406418145340825</v>
      </c>
      <c r="AJ89" s="50">
        <v>178309</v>
      </c>
      <c r="AK89" s="12">
        <v>605071.70000000007</v>
      </c>
      <c r="AL89" s="51">
        <f t="shared" si="91"/>
        <v>0</v>
      </c>
      <c r="AM89" s="22">
        <f t="shared" si="78"/>
        <v>0</v>
      </c>
      <c r="AN89" s="50">
        <v>272082.5</v>
      </c>
      <c r="AO89" s="12">
        <v>510869.5</v>
      </c>
      <c r="AP89" s="51">
        <f t="shared" si="92"/>
        <v>0</v>
      </c>
      <c r="AQ89" s="22">
        <f t="shared" si="79"/>
        <v>0</v>
      </c>
      <c r="AR89" s="50">
        <v>205485.9</v>
      </c>
      <c r="AS89" s="12">
        <v>374325.3</v>
      </c>
      <c r="AT89" s="51">
        <f t="shared" si="93"/>
        <v>0</v>
      </c>
      <c r="AU89" s="22">
        <f t="shared" si="80"/>
        <v>0</v>
      </c>
      <c r="AV89" s="50">
        <v>271056.7</v>
      </c>
      <c r="AW89" s="12">
        <v>373026.1</v>
      </c>
      <c r="AX89" s="51">
        <f t="shared" si="94"/>
        <v>0</v>
      </c>
      <c r="AY89" s="22">
        <f t="shared" si="81"/>
        <v>0</v>
      </c>
      <c r="AZ89" s="11">
        <f t="shared" si="95"/>
        <v>2792977.9</v>
      </c>
      <c r="BA89" s="11">
        <f t="shared" si="96"/>
        <v>4661823.6999999993</v>
      </c>
      <c r="BB89" s="49">
        <f t="shared" si="97"/>
        <v>2706590.1</v>
      </c>
      <c r="BC89" s="15">
        <v>0</v>
      </c>
    </row>
    <row r="90" spans="1:55" ht="12.75" customHeight="1" thickBot="1" x14ac:dyDescent="0.35">
      <c r="A90" s="30" t="s">
        <v>43</v>
      </c>
      <c r="B90" s="50">
        <v>0</v>
      </c>
      <c r="C90" s="12">
        <v>0</v>
      </c>
      <c r="D90" s="51">
        <f t="shared" si="82"/>
        <v>0</v>
      </c>
      <c r="E90" s="22" t="str">
        <f t="shared" si="127"/>
        <v>----</v>
      </c>
      <c r="F90" s="50">
        <v>0</v>
      </c>
      <c r="G90" s="12">
        <v>0</v>
      </c>
      <c r="H90" s="51">
        <f t="shared" si="84"/>
        <v>0</v>
      </c>
      <c r="I90" s="22" t="str">
        <f t="shared" si="71"/>
        <v>----</v>
      </c>
      <c r="J90" s="50">
        <v>0</v>
      </c>
      <c r="K90" s="12">
        <v>0</v>
      </c>
      <c r="L90" s="51">
        <f t="shared" si="85"/>
        <v>0</v>
      </c>
      <c r="M90" s="22" t="str">
        <f t="shared" si="72"/>
        <v>----</v>
      </c>
      <c r="N90" s="50">
        <v>0</v>
      </c>
      <c r="O90" s="12">
        <v>0</v>
      </c>
      <c r="P90" s="51">
        <f t="shared" si="86"/>
        <v>0</v>
      </c>
      <c r="Q90" s="22" t="str">
        <f t="shared" si="73"/>
        <v>----</v>
      </c>
      <c r="R90" s="50">
        <v>0</v>
      </c>
      <c r="S90" s="12">
        <v>0</v>
      </c>
      <c r="T90" s="51">
        <f t="shared" si="87"/>
        <v>0</v>
      </c>
      <c r="U90" s="22" t="str">
        <f t="shared" si="74"/>
        <v>----</v>
      </c>
      <c r="V90" s="50">
        <v>0</v>
      </c>
      <c r="W90" s="12">
        <v>0</v>
      </c>
      <c r="X90" s="51">
        <f t="shared" si="88"/>
        <v>0</v>
      </c>
      <c r="Y90" s="52" t="str">
        <f t="shared" si="75"/>
        <v>----</v>
      </c>
      <c r="Z90" s="16"/>
      <c r="AA90" s="30" t="s">
        <v>43</v>
      </c>
      <c r="AB90" s="50">
        <v>0</v>
      </c>
      <c r="AC90" s="12">
        <v>0</v>
      </c>
      <c r="AD90" s="51">
        <f t="shared" si="89"/>
        <v>0</v>
      </c>
      <c r="AE90" s="22" t="str">
        <f t="shared" si="76"/>
        <v>----</v>
      </c>
      <c r="AF90" s="50">
        <v>0</v>
      </c>
      <c r="AG90" s="12">
        <v>0</v>
      </c>
      <c r="AH90" s="51">
        <f t="shared" si="90"/>
        <v>0</v>
      </c>
      <c r="AI90" s="22" t="str">
        <f t="shared" si="77"/>
        <v>----</v>
      </c>
      <c r="AJ90" s="50">
        <v>0</v>
      </c>
      <c r="AK90" s="12">
        <v>0</v>
      </c>
      <c r="AL90" s="51">
        <f t="shared" si="91"/>
        <v>0</v>
      </c>
      <c r="AM90" s="22" t="str">
        <f t="shared" si="78"/>
        <v>----</v>
      </c>
      <c r="AN90" s="50">
        <v>0</v>
      </c>
      <c r="AO90" s="12">
        <v>0</v>
      </c>
      <c r="AP90" s="51">
        <f t="shared" si="92"/>
        <v>0</v>
      </c>
      <c r="AQ90" s="22" t="str">
        <f t="shared" si="79"/>
        <v>----</v>
      </c>
      <c r="AR90" s="50">
        <v>0</v>
      </c>
      <c r="AS90" s="12">
        <v>0</v>
      </c>
      <c r="AT90" s="51">
        <f t="shared" si="93"/>
        <v>0</v>
      </c>
      <c r="AU90" s="22" t="str">
        <f t="shared" si="80"/>
        <v>----</v>
      </c>
      <c r="AV90" s="50">
        <v>0</v>
      </c>
      <c r="AW90" s="12">
        <v>0</v>
      </c>
      <c r="AX90" s="51">
        <f t="shared" si="94"/>
        <v>0</v>
      </c>
      <c r="AY90" s="22" t="str">
        <f t="shared" si="81"/>
        <v>----</v>
      </c>
      <c r="AZ90" s="11">
        <f t="shared" si="95"/>
        <v>0</v>
      </c>
      <c r="BA90" s="11">
        <f t="shared" si="96"/>
        <v>0</v>
      </c>
      <c r="BB90" s="49">
        <f t="shared" si="97"/>
        <v>0</v>
      </c>
      <c r="BC90" s="15">
        <v>0</v>
      </c>
    </row>
    <row r="91" spans="1:55" ht="12.75" customHeight="1" thickBot="1" x14ac:dyDescent="0.35">
      <c r="A91" s="20" t="s">
        <v>44</v>
      </c>
      <c r="B91" s="50">
        <v>330030.75</v>
      </c>
      <c r="C91" s="12">
        <v>450728.05</v>
      </c>
      <c r="D91" s="51">
        <f t="shared" si="82"/>
        <v>374584.4</v>
      </c>
      <c r="E91" s="24">
        <f t="shared" si="127"/>
        <v>0.83106520661405481</v>
      </c>
      <c r="F91" s="50">
        <v>280161.59999999998</v>
      </c>
      <c r="G91" s="12">
        <v>0</v>
      </c>
      <c r="H91" s="51">
        <f t="shared" si="84"/>
        <v>719513.20000000007</v>
      </c>
      <c r="I91" s="24" t="str">
        <f t="shared" si="71"/>
        <v>----</v>
      </c>
      <c r="J91" s="50">
        <v>158730.29999999999</v>
      </c>
      <c r="K91" s="12">
        <v>171889.95</v>
      </c>
      <c r="L91" s="51">
        <f t="shared" si="85"/>
        <v>788304</v>
      </c>
      <c r="M91" s="22">
        <f t="shared" si="72"/>
        <v>4.5860970929364981</v>
      </c>
      <c r="N91" s="50">
        <v>270961.65000000002</v>
      </c>
      <c r="O91" s="12">
        <v>287562.40000000002</v>
      </c>
      <c r="P91" s="51">
        <f t="shared" si="86"/>
        <v>673552.4</v>
      </c>
      <c r="Q91" s="22">
        <f t="shared" si="73"/>
        <v>2.3422825793636441</v>
      </c>
      <c r="R91" s="50">
        <v>0</v>
      </c>
      <c r="S91" s="12">
        <v>652397.4</v>
      </c>
      <c r="T91" s="51">
        <f t="shared" si="87"/>
        <v>309774</v>
      </c>
      <c r="U91" s="22">
        <f t="shared" si="74"/>
        <v>0.47482408728177028</v>
      </c>
      <c r="V91" s="50">
        <v>162076.65</v>
      </c>
      <c r="W91" s="12">
        <v>171304</v>
      </c>
      <c r="X91" s="51">
        <f t="shared" si="88"/>
        <v>547572</v>
      </c>
      <c r="Y91" s="52">
        <f t="shared" si="75"/>
        <v>3.1964927847569236</v>
      </c>
      <c r="Z91" s="16"/>
      <c r="AA91" s="20" t="s">
        <v>44</v>
      </c>
      <c r="AB91" s="50">
        <v>332245.34999999998</v>
      </c>
      <c r="AC91" s="12">
        <v>589807.9</v>
      </c>
      <c r="AD91" s="51">
        <f t="shared" si="89"/>
        <v>678708</v>
      </c>
      <c r="AE91" s="22">
        <f t="shared" si="76"/>
        <v>1.1507272113513569</v>
      </c>
      <c r="AF91" s="50">
        <v>717251.64999999991</v>
      </c>
      <c r="AG91" s="12">
        <v>482643.44999999995</v>
      </c>
      <c r="AH91" s="51">
        <f t="shared" si="90"/>
        <v>856507.6</v>
      </c>
      <c r="AI91" s="22">
        <f t="shared" si="77"/>
        <v>1.774617681023124</v>
      </c>
      <c r="AJ91" s="50">
        <v>0</v>
      </c>
      <c r="AK91" s="12">
        <v>210024</v>
      </c>
      <c r="AL91" s="51">
        <f t="shared" si="91"/>
        <v>0</v>
      </c>
      <c r="AM91" s="22">
        <f t="shared" si="78"/>
        <v>0</v>
      </c>
      <c r="AN91" s="50">
        <v>0</v>
      </c>
      <c r="AO91" s="12">
        <v>767375.2</v>
      </c>
      <c r="AP91" s="51">
        <f t="shared" si="92"/>
        <v>0</v>
      </c>
      <c r="AQ91" s="22">
        <f t="shared" si="79"/>
        <v>0</v>
      </c>
      <c r="AR91" s="50">
        <v>471354.1</v>
      </c>
      <c r="AS91" s="12">
        <v>694717.65</v>
      </c>
      <c r="AT91" s="51">
        <f t="shared" si="93"/>
        <v>0</v>
      </c>
      <c r="AU91" s="22">
        <f t="shared" si="80"/>
        <v>0</v>
      </c>
      <c r="AV91" s="50">
        <v>286268.55</v>
      </c>
      <c r="AW91" s="12">
        <v>1222022.75</v>
      </c>
      <c r="AX91" s="51">
        <f t="shared" si="94"/>
        <v>0</v>
      </c>
      <c r="AY91" s="22">
        <f t="shared" si="81"/>
        <v>0</v>
      </c>
      <c r="AZ91" s="11">
        <f t="shared" si="95"/>
        <v>3009080.5999999996</v>
      </c>
      <c r="BA91" s="11">
        <f t="shared" si="96"/>
        <v>5700472.7500000009</v>
      </c>
      <c r="BB91" s="49">
        <f t="shared" si="97"/>
        <v>4948515.5999999996</v>
      </c>
      <c r="BC91" s="15">
        <v>0</v>
      </c>
    </row>
    <row r="92" spans="1:55" ht="12.75" customHeight="1" thickBot="1" x14ac:dyDescent="0.35">
      <c r="A92" s="30" t="s">
        <v>45</v>
      </c>
      <c r="B92" s="50">
        <v>73632</v>
      </c>
      <c r="C92" s="12">
        <v>0</v>
      </c>
      <c r="D92" s="51">
        <f t="shared" si="82"/>
        <v>0</v>
      </c>
      <c r="E92" s="22" t="str">
        <f t="shared" si="127"/>
        <v>----</v>
      </c>
      <c r="F92" s="50">
        <v>351321.5</v>
      </c>
      <c r="G92" s="12">
        <v>0</v>
      </c>
      <c r="H92" s="51">
        <f t="shared" si="84"/>
        <v>0</v>
      </c>
      <c r="I92" s="24" t="str">
        <f t="shared" si="71"/>
        <v>----</v>
      </c>
      <c r="J92" s="50">
        <v>51284.800000000003</v>
      </c>
      <c r="K92" s="12">
        <v>0</v>
      </c>
      <c r="L92" s="51">
        <f t="shared" si="85"/>
        <v>0</v>
      </c>
      <c r="M92" s="22" t="str">
        <f t="shared" si="72"/>
        <v>----</v>
      </c>
      <c r="N92" s="50">
        <v>220984.6</v>
      </c>
      <c r="O92" s="12">
        <v>0</v>
      </c>
      <c r="P92" s="51">
        <f t="shared" si="86"/>
        <v>0</v>
      </c>
      <c r="Q92" s="22" t="str">
        <f t="shared" si="73"/>
        <v>----</v>
      </c>
      <c r="R92" s="50">
        <v>456034</v>
      </c>
      <c r="S92" s="12">
        <v>0</v>
      </c>
      <c r="T92" s="51">
        <f t="shared" si="87"/>
        <v>0</v>
      </c>
      <c r="U92" s="22" t="str">
        <f t="shared" si="74"/>
        <v>----</v>
      </c>
      <c r="V92" s="50">
        <v>9033.6</v>
      </c>
      <c r="W92" s="12">
        <v>0</v>
      </c>
      <c r="X92" s="51">
        <f t="shared" si="88"/>
        <v>0</v>
      </c>
      <c r="Y92" s="52" t="str">
        <f t="shared" si="75"/>
        <v>----</v>
      </c>
      <c r="Z92" s="16"/>
      <c r="AA92" s="30" t="s">
        <v>45</v>
      </c>
      <c r="AB92" s="50">
        <v>14117</v>
      </c>
      <c r="AC92" s="12">
        <v>0</v>
      </c>
      <c r="AD92" s="51">
        <f t="shared" si="89"/>
        <v>0</v>
      </c>
      <c r="AE92" s="22" t="str">
        <f t="shared" si="76"/>
        <v>----</v>
      </c>
      <c r="AF92" s="50">
        <v>11050</v>
      </c>
      <c r="AG92" s="12">
        <v>0</v>
      </c>
      <c r="AH92" s="51">
        <f t="shared" si="90"/>
        <v>0</v>
      </c>
      <c r="AI92" s="22" t="str">
        <f t="shared" si="77"/>
        <v>----</v>
      </c>
      <c r="AJ92" s="50">
        <v>13406</v>
      </c>
      <c r="AK92" s="12">
        <v>1359.8</v>
      </c>
      <c r="AL92" s="51">
        <f t="shared" si="91"/>
        <v>0</v>
      </c>
      <c r="AM92" s="22">
        <f t="shared" si="78"/>
        <v>0</v>
      </c>
      <c r="AN92" s="50">
        <v>45040</v>
      </c>
      <c r="AO92" s="12">
        <v>0</v>
      </c>
      <c r="AP92" s="51">
        <f t="shared" si="92"/>
        <v>0</v>
      </c>
      <c r="AQ92" s="22" t="str">
        <f t="shared" si="79"/>
        <v>----</v>
      </c>
      <c r="AR92" s="50">
        <v>160136.54999999999</v>
      </c>
      <c r="AS92" s="12">
        <v>0</v>
      </c>
      <c r="AT92" s="51">
        <f t="shared" si="93"/>
        <v>0</v>
      </c>
      <c r="AU92" s="22" t="str">
        <f t="shared" si="80"/>
        <v>----</v>
      </c>
      <c r="AV92" s="50">
        <v>0</v>
      </c>
      <c r="AW92" s="12">
        <v>0</v>
      </c>
      <c r="AX92" s="51">
        <f t="shared" si="94"/>
        <v>0</v>
      </c>
      <c r="AY92" s="22" t="str">
        <f t="shared" si="81"/>
        <v>----</v>
      </c>
      <c r="AZ92" s="11">
        <f t="shared" si="95"/>
        <v>1406040.05</v>
      </c>
      <c r="BA92" s="11">
        <f t="shared" si="96"/>
        <v>1359.8</v>
      </c>
      <c r="BB92" s="49">
        <f t="shared" si="97"/>
        <v>0</v>
      </c>
      <c r="BC92" s="15">
        <v>0</v>
      </c>
    </row>
    <row r="93" spans="1:55" ht="12.75" customHeight="1" thickBot="1" x14ac:dyDescent="0.35">
      <c r="A93" s="30" t="s">
        <v>46</v>
      </c>
      <c r="B93" s="50">
        <v>47483.5</v>
      </c>
      <c r="C93" s="12">
        <v>66470</v>
      </c>
      <c r="D93" s="51">
        <f t="shared" si="82"/>
        <v>63204</v>
      </c>
      <c r="E93" s="22">
        <f t="shared" si="127"/>
        <v>0.95086505190311421</v>
      </c>
      <c r="F93" s="50">
        <v>53578.5</v>
      </c>
      <c r="G93" s="12">
        <v>141059</v>
      </c>
      <c r="H93" s="51">
        <f t="shared" si="84"/>
        <v>120048.5</v>
      </c>
      <c r="I93" s="24">
        <f t="shared" si="71"/>
        <v>0.8510516875917169</v>
      </c>
      <c r="J93" s="50">
        <v>79994</v>
      </c>
      <c r="K93" s="12">
        <v>73738</v>
      </c>
      <c r="L93" s="51">
        <f t="shared" si="85"/>
        <v>69115</v>
      </c>
      <c r="M93" s="24">
        <f t="shared" si="72"/>
        <v>0.9373050530255771</v>
      </c>
      <c r="N93" s="50">
        <v>132744.5</v>
      </c>
      <c r="O93" s="12">
        <v>55671.5</v>
      </c>
      <c r="P93" s="51">
        <f t="shared" si="86"/>
        <v>66228.5</v>
      </c>
      <c r="Q93" s="22">
        <f t="shared" si="73"/>
        <v>1.1896302416856022</v>
      </c>
      <c r="R93" s="50">
        <v>57500</v>
      </c>
      <c r="S93" s="12">
        <v>70518</v>
      </c>
      <c r="T93" s="51">
        <f>T35</f>
        <v>0</v>
      </c>
      <c r="U93" s="22">
        <f t="shared" si="74"/>
        <v>0</v>
      </c>
      <c r="V93" s="50">
        <v>64308</v>
      </c>
      <c r="W93" s="12">
        <v>124706</v>
      </c>
      <c r="X93" s="51">
        <f t="shared" si="88"/>
        <v>70138.5</v>
      </c>
      <c r="Y93" s="52">
        <f t="shared" si="75"/>
        <v>0.56243083732939869</v>
      </c>
      <c r="Z93" s="16"/>
      <c r="AA93" s="30" t="s">
        <v>46</v>
      </c>
      <c r="AB93" s="50">
        <v>118979</v>
      </c>
      <c r="AC93" s="12">
        <v>123107.5</v>
      </c>
      <c r="AD93" s="51">
        <f t="shared" si="89"/>
        <v>139874.5</v>
      </c>
      <c r="AE93" s="22">
        <f t="shared" si="76"/>
        <v>1.1361980382998598</v>
      </c>
      <c r="AF93" s="50">
        <v>123866.5</v>
      </c>
      <c r="AG93" s="12">
        <v>60087.5</v>
      </c>
      <c r="AH93" s="51">
        <f t="shared" si="90"/>
        <v>69989</v>
      </c>
      <c r="AI93" s="22">
        <f t="shared" si="77"/>
        <v>1.1647846889952154</v>
      </c>
      <c r="AJ93" s="50">
        <v>68850.5</v>
      </c>
      <c r="AK93" s="12">
        <v>57994.5</v>
      </c>
      <c r="AL93" s="51">
        <f t="shared" si="91"/>
        <v>70219</v>
      </c>
      <c r="AM93" s="22">
        <f t="shared" si="78"/>
        <v>1.2107872298235178</v>
      </c>
      <c r="AN93" s="50">
        <v>120554.5</v>
      </c>
      <c r="AO93" s="12">
        <v>57293</v>
      </c>
      <c r="AP93" s="51">
        <f t="shared" si="92"/>
        <v>0</v>
      </c>
      <c r="AQ93" s="22">
        <f t="shared" si="79"/>
        <v>0</v>
      </c>
      <c r="AR93" s="50">
        <v>68068.5</v>
      </c>
      <c r="AS93" s="12">
        <v>95013</v>
      </c>
      <c r="AT93" s="51">
        <f t="shared" si="93"/>
        <v>0</v>
      </c>
      <c r="AU93" s="22">
        <f t="shared" si="80"/>
        <v>0</v>
      </c>
      <c r="AV93" s="50">
        <v>132595</v>
      </c>
      <c r="AW93" s="12">
        <v>132813.5</v>
      </c>
      <c r="AX93" s="51">
        <f t="shared" si="94"/>
        <v>0</v>
      </c>
      <c r="AY93" s="22">
        <f t="shared" si="81"/>
        <v>0</v>
      </c>
      <c r="AZ93" s="11">
        <f t="shared" si="95"/>
        <v>1068522.5</v>
      </c>
      <c r="BA93" s="11">
        <f t="shared" si="96"/>
        <v>1058471.5</v>
      </c>
      <c r="BB93" s="49">
        <f t="shared" si="97"/>
        <v>668817</v>
      </c>
      <c r="BC93" s="15">
        <v>0</v>
      </c>
    </row>
    <row r="94" spans="1:55" ht="12.75" customHeight="1" thickBot="1" x14ac:dyDescent="0.35">
      <c r="A94" s="20" t="s">
        <v>47</v>
      </c>
      <c r="B94" s="50">
        <v>0</v>
      </c>
      <c r="C94" s="12">
        <v>0</v>
      </c>
      <c r="D94" s="51">
        <f t="shared" si="82"/>
        <v>0</v>
      </c>
      <c r="E94" s="24" t="str">
        <f t="shared" si="127"/>
        <v>----</v>
      </c>
      <c r="F94" s="50">
        <v>0</v>
      </c>
      <c r="G94" s="12">
        <v>0</v>
      </c>
      <c r="H94" s="51">
        <f t="shared" si="84"/>
        <v>0</v>
      </c>
      <c r="I94" s="24" t="str">
        <f t="shared" si="71"/>
        <v>----</v>
      </c>
      <c r="J94" s="50">
        <v>0</v>
      </c>
      <c r="K94" s="12">
        <v>0</v>
      </c>
      <c r="L94" s="51">
        <f t="shared" si="85"/>
        <v>0</v>
      </c>
      <c r="M94" s="24" t="str">
        <f t="shared" si="72"/>
        <v>----</v>
      </c>
      <c r="N94" s="50">
        <v>0</v>
      </c>
      <c r="O94" s="12">
        <v>0</v>
      </c>
      <c r="P94" s="51">
        <f t="shared" si="86"/>
        <v>0</v>
      </c>
      <c r="Q94" s="22" t="str">
        <f t="shared" si="73"/>
        <v>----</v>
      </c>
      <c r="R94" s="50">
        <v>0</v>
      </c>
      <c r="S94" s="12">
        <v>0</v>
      </c>
      <c r="T94" s="51">
        <f t="shared" si="87"/>
        <v>0</v>
      </c>
      <c r="U94" s="22" t="str">
        <f t="shared" si="74"/>
        <v>----</v>
      </c>
      <c r="V94" s="50">
        <v>0</v>
      </c>
      <c r="W94" s="12">
        <v>0</v>
      </c>
      <c r="X94" s="51">
        <f t="shared" si="88"/>
        <v>0</v>
      </c>
      <c r="Y94" s="52" t="str">
        <f t="shared" si="75"/>
        <v>----</v>
      </c>
      <c r="Z94" s="16"/>
      <c r="AA94" s="20" t="s">
        <v>47</v>
      </c>
      <c r="AB94" s="50">
        <v>0</v>
      </c>
      <c r="AC94" s="12">
        <v>0</v>
      </c>
      <c r="AD94" s="51">
        <f t="shared" si="89"/>
        <v>0</v>
      </c>
      <c r="AE94" s="22" t="str">
        <f t="shared" si="76"/>
        <v>----</v>
      </c>
      <c r="AF94" s="50">
        <v>0</v>
      </c>
      <c r="AG94" s="12">
        <v>0</v>
      </c>
      <c r="AH94" s="51">
        <f t="shared" si="90"/>
        <v>0</v>
      </c>
      <c r="AI94" s="22" t="str">
        <f t="shared" si="77"/>
        <v>----</v>
      </c>
      <c r="AJ94" s="50">
        <v>0</v>
      </c>
      <c r="AK94" s="12">
        <v>0</v>
      </c>
      <c r="AL94" s="51">
        <f t="shared" si="91"/>
        <v>0</v>
      </c>
      <c r="AM94" s="22" t="str">
        <f t="shared" si="78"/>
        <v>----</v>
      </c>
      <c r="AN94" s="50">
        <v>0</v>
      </c>
      <c r="AO94" s="12">
        <v>0</v>
      </c>
      <c r="AP94" s="51">
        <f t="shared" si="92"/>
        <v>0</v>
      </c>
      <c r="AQ94" s="22" t="str">
        <f t="shared" si="79"/>
        <v>----</v>
      </c>
      <c r="AR94" s="50">
        <v>0</v>
      </c>
      <c r="AS94" s="12">
        <v>0</v>
      </c>
      <c r="AT94" s="51">
        <f t="shared" si="93"/>
        <v>0</v>
      </c>
      <c r="AU94" s="22" t="str">
        <f t="shared" si="80"/>
        <v>----</v>
      </c>
      <c r="AV94" s="50">
        <v>0</v>
      </c>
      <c r="AW94" s="12">
        <v>0</v>
      </c>
      <c r="AX94" s="51">
        <f t="shared" si="94"/>
        <v>0</v>
      </c>
      <c r="AY94" s="22" t="str">
        <f t="shared" si="81"/>
        <v>----</v>
      </c>
      <c r="AZ94" s="11">
        <f t="shared" si="95"/>
        <v>0</v>
      </c>
      <c r="BA94" s="11">
        <f t="shared" si="96"/>
        <v>0</v>
      </c>
      <c r="BB94" s="49">
        <f t="shared" si="97"/>
        <v>0</v>
      </c>
      <c r="BC94" s="15">
        <v>0</v>
      </c>
    </row>
    <row r="95" spans="1:55" ht="12.75" customHeight="1" thickBot="1" x14ac:dyDescent="0.35">
      <c r="A95" s="30" t="s">
        <v>48</v>
      </c>
      <c r="B95" s="53">
        <v>0</v>
      </c>
      <c r="C95" s="12">
        <v>118278</v>
      </c>
      <c r="D95" s="51">
        <f t="shared" si="82"/>
        <v>286785.40000000002</v>
      </c>
      <c r="E95" s="54">
        <f t="shared" si="127"/>
        <v>2.4246723820152525</v>
      </c>
      <c r="F95" s="53">
        <v>0</v>
      </c>
      <c r="G95" s="12">
        <v>233490</v>
      </c>
      <c r="H95" s="51">
        <f t="shared" si="84"/>
        <v>178833.7</v>
      </c>
      <c r="I95" s="54">
        <f t="shared" si="71"/>
        <v>0.7659158850486103</v>
      </c>
      <c r="J95" s="53">
        <v>0</v>
      </c>
      <c r="K95" s="12">
        <v>251364</v>
      </c>
      <c r="L95" s="51">
        <f t="shared" si="85"/>
        <v>175301.8</v>
      </c>
      <c r="M95" s="54">
        <f t="shared" si="72"/>
        <v>0.69740217374007407</v>
      </c>
      <c r="N95" s="53">
        <v>0</v>
      </c>
      <c r="O95" s="12">
        <v>210540</v>
      </c>
      <c r="P95" s="51">
        <f t="shared" si="86"/>
        <v>249892.59999999998</v>
      </c>
      <c r="Q95" s="54">
        <f t="shared" si="73"/>
        <v>1.186912700674456</v>
      </c>
      <c r="R95" s="53">
        <v>0</v>
      </c>
      <c r="S95" s="12">
        <v>157530</v>
      </c>
      <c r="T95" s="51">
        <f t="shared" si="87"/>
        <v>324330.90000000002</v>
      </c>
      <c r="U95" s="54">
        <f t="shared" si="74"/>
        <v>2.0588516473052754</v>
      </c>
      <c r="V95" s="53">
        <v>0</v>
      </c>
      <c r="W95" s="12">
        <v>123690</v>
      </c>
      <c r="X95" s="51">
        <f t="shared" si="88"/>
        <v>373545.7</v>
      </c>
      <c r="Y95" s="55">
        <f t="shared" si="75"/>
        <v>3.0200153609831029</v>
      </c>
      <c r="Z95" s="16"/>
      <c r="AA95" s="30" t="s">
        <v>48</v>
      </c>
      <c r="AB95" s="53">
        <v>0</v>
      </c>
      <c r="AC95" s="12">
        <v>184308</v>
      </c>
      <c r="AD95" s="51">
        <f t="shared" si="89"/>
        <v>64753.35</v>
      </c>
      <c r="AE95" s="54">
        <f t="shared" si="76"/>
        <v>0.35133228074744449</v>
      </c>
      <c r="AF95" s="53">
        <v>0</v>
      </c>
      <c r="AG95" s="12">
        <v>184572</v>
      </c>
      <c r="AH95" s="51">
        <f t="shared" si="90"/>
        <v>323280.90000000002</v>
      </c>
      <c r="AI95" s="54">
        <f t="shared" si="77"/>
        <v>1.7515164813731228</v>
      </c>
      <c r="AJ95" s="53">
        <v>0</v>
      </c>
      <c r="AK95" s="12">
        <v>152256</v>
      </c>
      <c r="AL95" s="51">
        <f t="shared" si="91"/>
        <v>260501.7</v>
      </c>
      <c r="AM95" s="54">
        <f t="shared" si="78"/>
        <v>1.7109453814627995</v>
      </c>
      <c r="AN95" s="53">
        <v>0</v>
      </c>
      <c r="AO95" s="12">
        <v>203052</v>
      </c>
      <c r="AP95" s="51">
        <f t="shared" si="92"/>
        <v>0</v>
      </c>
      <c r="AQ95" s="54">
        <f t="shared" si="79"/>
        <v>0</v>
      </c>
      <c r="AR95" s="53">
        <v>0</v>
      </c>
      <c r="AS95" s="12">
        <v>94781.8</v>
      </c>
      <c r="AT95" s="51">
        <f t="shared" si="93"/>
        <v>0</v>
      </c>
      <c r="AU95" s="54">
        <f t="shared" si="80"/>
        <v>0</v>
      </c>
      <c r="AV95" s="53">
        <v>0</v>
      </c>
      <c r="AW95" s="12">
        <v>262757.5</v>
      </c>
      <c r="AX95" s="51">
        <f t="shared" si="94"/>
        <v>0</v>
      </c>
      <c r="AY95" s="22">
        <f t="shared" si="81"/>
        <v>0</v>
      </c>
      <c r="AZ95" s="11">
        <f t="shared" si="95"/>
        <v>0</v>
      </c>
      <c r="BA95" s="11">
        <f t="shared" si="96"/>
        <v>2176619.2999999998</v>
      </c>
      <c r="BB95" s="49">
        <f t="shared" si="97"/>
        <v>2237226.0500000003</v>
      </c>
      <c r="BC95" s="15">
        <v>0</v>
      </c>
    </row>
    <row r="96" spans="1:55" ht="12.75" customHeight="1" thickBot="1" x14ac:dyDescent="0.35">
      <c r="A96" s="20" t="s">
        <v>49</v>
      </c>
      <c r="B96" s="50">
        <v>5400</v>
      </c>
      <c r="C96" s="12">
        <v>10608</v>
      </c>
      <c r="D96" s="51">
        <f t="shared" si="82"/>
        <v>0</v>
      </c>
      <c r="E96" s="22">
        <f t="shared" si="127"/>
        <v>0</v>
      </c>
      <c r="F96" s="50">
        <v>14309.5</v>
      </c>
      <c r="G96" s="12">
        <v>22478.5</v>
      </c>
      <c r="H96" s="51">
        <f t="shared" si="84"/>
        <v>13984</v>
      </c>
      <c r="I96" s="22">
        <f t="shared" si="71"/>
        <v>0.62210556754231816</v>
      </c>
      <c r="J96" s="50">
        <v>22511.5</v>
      </c>
      <c r="K96" s="12">
        <v>0</v>
      </c>
      <c r="L96" s="51">
        <f t="shared" si="85"/>
        <v>0</v>
      </c>
      <c r="M96" s="22" t="str">
        <f t="shared" si="72"/>
        <v>----</v>
      </c>
      <c r="N96" s="50">
        <v>14291.2</v>
      </c>
      <c r="O96" s="12">
        <v>0</v>
      </c>
      <c r="P96" s="51">
        <f t="shared" si="86"/>
        <v>12320</v>
      </c>
      <c r="Q96" s="22" t="str">
        <f t="shared" si="73"/>
        <v>----</v>
      </c>
      <c r="R96" s="50">
        <v>35947</v>
      </c>
      <c r="S96" s="12">
        <v>0</v>
      </c>
      <c r="T96" s="51">
        <f t="shared" si="87"/>
        <v>0</v>
      </c>
      <c r="U96" s="22" t="str">
        <f t="shared" si="74"/>
        <v>----</v>
      </c>
      <c r="V96" s="50">
        <v>10002.5</v>
      </c>
      <c r="W96" s="12">
        <v>0</v>
      </c>
      <c r="X96" s="51">
        <f t="shared" si="88"/>
        <v>0</v>
      </c>
      <c r="Y96" s="52" t="str">
        <f t="shared" si="75"/>
        <v>----</v>
      </c>
      <c r="Z96" s="16"/>
      <c r="AA96" s="20" t="s">
        <v>49</v>
      </c>
      <c r="AB96" s="50">
        <v>20771.22</v>
      </c>
      <c r="AC96" s="12">
        <v>0</v>
      </c>
      <c r="AD96" s="51">
        <f t="shared" si="89"/>
        <v>0</v>
      </c>
      <c r="AE96" s="22" t="str">
        <f t="shared" si="76"/>
        <v>----</v>
      </c>
      <c r="AF96" s="50">
        <v>19765</v>
      </c>
      <c r="AG96" s="12">
        <v>0</v>
      </c>
      <c r="AH96" s="51">
        <f t="shared" si="90"/>
        <v>0</v>
      </c>
      <c r="AI96" s="22" t="str">
        <f t="shared" si="77"/>
        <v>----</v>
      </c>
      <c r="AJ96" s="50">
        <v>15657</v>
      </c>
      <c r="AK96" s="12">
        <v>0</v>
      </c>
      <c r="AL96" s="51">
        <f t="shared" si="91"/>
        <v>0</v>
      </c>
      <c r="AM96" s="22" t="str">
        <f t="shared" si="78"/>
        <v>----</v>
      </c>
      <c r="AN96" s="50">
        <v>27826.95</v>
      </c>
      <c r="AO96" s="12">
        <v>0</v>
      </c>
      <c r="AP96" s="51">
        <f t="shared" si="92"/>
        <v>0</v>
      </c>
      <c r="AQ96" s="22" t="str">
        <f t="shared" si="79"/>
        <v>----</v>
      </c>
      <c r="AR96" s="50">
        <v>16320</v>
      </c>
      <c r="AS96" s="12">
        <v>0</v>
      </c>
      <c r="AT96" s="51">
        <f t="shared" si="93"/>
        <v>0</v>
      </c>
      <c r="AU96" s="22" t="str">
        <f t="shared" si="80"/>
        <v>----</v>
      </c>
      <c r="AV96" s="50">
        <v>14528.9</v>
      </c>
      <c r="AW96" s="12">
        <v>0</v>
      </c>
      <c r="AX96" s="51">
        <f t="shared" si="94"/>
        <v>0</v>
      </c>
      <c r="AY96" s="22" t="str">
        <f t="shared" si="81"/>
        <v>----</v>
      </c>
      <c r="AZ96" s="11">
        <f t="shared" si="95"/>
        <v>217330.77</v>
      </c>
      <c r="BA96" s="11">
        <f t="shared" si="96"/>
        <v>33086.5</v>
      </c>
      <c r="BB96" s="49">
        <f t="shared" si="97"/>
        <v>26304</v>
      </c>
      <c r="BC96" s="15">
        <v>0</v>
      </c>
    </row>
    <row r="97" spans="1:55" ht="12.75" customHeight="1" thickBot="1" x14ac:dyDescent="0.35">
      <c r="A97" s="20" t="s">
        <v>50</v>
      </c>
      <c r="B97" s="56">
        <v>5160</v>
      </c>
      <c r="C97" s="12">
        <v>358594.8</v>
      </c>
      <c r="D97" s="51">
        <f t="shared" si="82"/>
        <v>366226.2</v>
      </c>
      <c r="E97" s="32">
        <f t="shared" si="127"/>
        <v>1.0212814017381178</v>
      </c>
      <c r="F97" s="56">
        <v>60674</v>
      </c>
      <c r="G97" s="12">
        <v>91674</v>
      </c>
      <c r="H97" s="51">
        <f t="shared" si="84"/>
        <v>69518.8</v>
      </c>
      <c r="I97" s="32">
        <f t="shared" si="71"/>
        <v>0.75832624299146978</v>
      </c>
      <c r="J97" s="56">
        <v>108847.6</v>
      </c>
      <c r="K97" s="12">
        <v>175358</v>
      </c>
      <c r="L97" s="51">
        <f t="shared" si="85"/>
        <v>583510.54999999993</v>
      </c>
      <c r="M97" s="32">
        <f t="shared" si="72"/>
        <v>3.3275388063276266</v>
      </c>
      <c r="N97" s="56">
        <v>184834</v>
      </c>
      <c r="O97" s="12">
        <v>145344.4</v>
      </c>
      <c r="P97" s="51">
        <f t="shared" si="86"/>
        <v>177241.25</v>
      </c>
      <c r="Q97" s="32">
        <f t="shared" si="73"/>
        <v>1.2194570275841381</v>
      </c>
      <c r="R97" s="56">
        <v>152928.6</v>
      </c>
      <c r="S97" s="12">
        <v>86594</v>
      </c>
      <c r="T97" s="51">
        <f t="shared" si="87"/>
        <v>194903.2</v>
      </c>
      <c r="U97" s="32">
        <f t="shared" si="74"/>
        <v>2.2507702612190221</v>
      </c>
      <c r="V97" s="56">
        <v>0</v>
      </c>
      <c r="W97" s="12">
        <v>61092</v>
      </c>
      <c r="X97" s="51">
        <f t="shared" si="88"/>
        <v>280765.95</v>
      </c>
      <c r="Y97" s="57">
        <f t="shared" si="75"/>
        <v>4.5957891376939699</v>
      </c>
      <c r="Z97" s="16"/>
      <c r="AA97" s="20" t="s">
        <v>50</v>
      </c>
      <c r="AB97" s="56">
        <v>180119</v>
      </c>
      <c r="AC97" s="12">
        <v>119983.2</v>
      </c>
      <c r="AD97" s="51">
        <f t="shared" si="89"/>
        <v>192457.34999999998</v>
      </c>
      <c r="AE97" s="32">
        <f t="shared" si="76"/>
        <v>1.6040358150141019</v>
      </c>
      <c r="AF97" s="56">
        <v>178872</v>
      </c>
      <c r="AG97" s="12">
        <v>348241.7</v>
      </c>
      <c r="AH97" s="51">
        <f t="shared" si="90"/>
        <v>241953.1</v>
      </c>
      <c r="AI97" s="32">
        <f t="shared" si="77"/>
        <v>0.69478497262102723</v>
      </c>
      <c r="AJ97" s="56">
        <v>181317.4</v>
      </c>
      <c r="AK97" s="12">
        <v>75332.899999999994</v>
      </c>
      <c r="AL97" s="51">
        <f t="shared" si="91"/>
        <v>166957.54999999999</v>
      </c>
      <c r="AM97" s="32">
        <f t="shared" si="78"/>
        <v>2.2162634121346714</v>
      </c>
      <c r="AN97" s="56">
        <v>0</v>
      </c>
      <c r="AO97" s="12">
        <v>75097.600000000006</v>
      </c>
      <c r="AP97" s="51">
        <f t="shared" si="92"/>
        <v>0</v>
      </c>
      <c r="AQ97" s="32">
        <f t="shared" si="79"/>
        <v>0</v>
      </c>
      <c r="AR97" s="56">
        <v>88002</v>
      </c>
      <c r="AS97" s="12">
        <v>274060.40000000002</v>
      </c>
      <c r="AT97" s="51">
        <f t="shared" si="93"/>
        <v>0</v>
      </c>
      <c r="AU97" s="32">
        <f t="shared" si="80"/>
        <v>0</v>
      </c>
      <c r="AV97" s="56">
        <v>211264.6</v>
      </c>
      <c r="AW97" s="12">
        <v>117902.39999999999</v>
      </c>
      <c r="AX97" s="51">
        <f t="shared" si="94"/>
        <v>0</v>
      </c>
      <c r="AY97" s="32">
        <f t="shared" si="81"/>
        <v>0</v>
      </c>
      <c r="AZ97" s="11">
        <f t="shared" si="95"/>
        <v>1352019.2</v>
      </c>
      <c r="BA97" s="11">
        <f t="shared" si="96"/>
        <v>1929275.4</v>
      </c>
      <c r="BB97" s="49">
        <f t="shared" si="97"/>
        <v>2273533.9499999997</v>
      </c>
      <c r="BC97" s="15">
        <v>0</v>
      </c>
    </row>
    <row r="98" spans="1:55" ht="12.75" customHeight="1" thickBot="1" x14ac:dyDescent="0.35">
      <c r="A98" s="20" t="s">
        <v>51</v>
      </c>
      <c r="B98" s="49">
        <v>122604</v>
      </c>
      <c r="C98" s="12">
        <v>219120</v>
      </c>
      <c r="D98" s="51">
        <f t="shared" si="82"/>
        <v>555084</v>
      </c>
      <c r="E98" s="14">
        <f>+IFERROR(D98/C98,"----")</f>
        <v>2.5332420591456737</v>
      </c>
      <c r="F98" s="49">
        <v>278802</v>
      </c>
      <c r="G98" s="12">
        <v>276133</v>
      </c>
      <c r="H98" s="51">
        <f t="shared" si="84"/>
        <v>370656</v>
      </c>
      <c r="I98" s="13">
        <f t="shared" si="71"/>
        <v>1.3423096841015019</v>
      </c>
      <c r="J98" s="49">
        <v>441380.5</v>
      </c>
      <c r="K98" s="12">
        <v>221919.5</v>
      </c>
      <c r="L98" s="51">
        <f t="shared" si="85"/>
        <v>299125.7</v>
      </c>
      <c r="M98" s="13">
        <f t="shared" si="72"/>
        <v>1.3479018292669189</v>
      </c>
      <c r="N98" s="49">
        <v>555494.5</v>
      </c>
      <c r="O98" s="12">
        <v>0</v>
      </c>
      <c r="P98" s="51">
        <f t="shared" si="86"/>
        <v>594030</v>
      </c>
      <c r="Q98" s="13" t="str">
        <f t="shared" si="73"/>
        <v>----</v>
      </c>
      <c r="R98" s="49">
        <v>320265</v>
      </c>
      <c r="S98" s="12">
        <v>172155.5</v>
      </c>
      <c r="T98" s="51">
        <f t="shared" si="87"/>
        <v>525257.4</v>
      </c>
      <c r="U98" s="13">
        <f t="shared" si="74"/>
        <v>3.0510637185567702</v>
      </c>
      <c r="V98" s="49">
        <v>274642.5</v>
      </c>
      <c r="W98" s="12">
        <v>168844.5</v>
      </c>
      <c r="X98" s="51">
        <f t="shared" si="88"/>
        <v>297360</v>
      </c>
      <c r="Y98" s="48">
        <f t="shared" si="75"/>
        <v>1.7611470909623943</v>
      </c>
      <c r="Z98" s="16"/>
      <c r="AA98" s="20" t="s">
        <v>51</v>
      </c>
      <c r="AB98" s="49">
        <v>690687</v>
      </c>
      <c r="AC98" s="12">
        <v>388355</v>
      </c>
      <c r="AD98" s="51">
        <f t="shared" si="89"/>
        <v>701393.1</v>
      </c>
      <c r="AE98" s="13">
        <f t="shared" si="76"/>
        <v>1.8060617218781785</v>
      </c>
      <c r="AF98" s="49">
        <v>214959.5</v>
      </c>
      <c r="AG98" s="12">
        <v>139309.5</v>
      </c>
      <c r="AH98" s="51">
        <f t="shared" si="90"/>
        <v>596178</v>
      </c>
      <c r="AI98" s="13">
        <f t="shared" si="77"/>
        <v>4.2795214970981874</v>
      </c>
      <c r="AJ98" s="49">
        <v>228558</v>
      </c>
      <c r="AK98" s="12">
        <v>476580.5</v>
      </c>
      <c r="AL98" s="51">
        <f t="shared" si="91"/>
        <v>0</v>
      </c>
      <c r="AM98" s="13">
        <f t="shared" si="78"/>
        <v>0</v>
      </c>
      <c r="AN98" s="49">
        <v>500142.5</v>
      </c>
      <c r="AO98" s="12">
        <v>450604</v>
      </c>
      <c r="AP98" s="51">
        <f t="shared" si="92"/>
        <v>0</v>
      </c>
      <c r="AQ98" s="13">
        <f t="shared" si="79"/>
        <v>0</v>
      </c>
      <c r="AR98" s="49">
        <v>182226</v>
      </c>
      <c r="AS98" s="12">
        <v>404096</v>
      </c>
      <c r="AT98" s="51">
        <f t="shared" si="93"/>
        <v>0</v>
      </c>
      <c r="AU98" s="13">
        <f t="shared" si="80"/>
        <v>0</v>
      </c>
      <c r="AV98" s="49">
        <v>110555.5</v>
      </c>
      <c r="AW98" s="12">
        <v>273388.5</v>
      </c>
      <c r="AX98" s="51">
        <f t="shared" si="94"/>
        <v>0</v>
      </c>
      <c r="AY98" s="13">
        <f t="shared" si="81"/>
        <v>0</v>
      </c>
      <c r="AZ98" s="11">
        <f t="shared" si="95"/>
        <v>3920317</v>
      </c>
      <c r="BA98" s="11">
        <f t="shared" si="96"/>
        <v>3190506</v>
      </c>
      <c r="BB98" s="49">
        <f t="shared" si="97"/>
        <v>3939084.2</v>
      </c>
      <c r="BC98" s="15">
        <v>0</v>
      </c>
    </row>
    <row r="99" spans="1:55" ht="12.75" customHeight="1" thickBot="1" x14ac:dyDescent="0.35">
      <c r="A99" s="20" t="s">
        <v>52</v>
      </c>
      <c r="B99" s="50">
        <v>94522.75</v>
      </c>
      <c r="C99" s="12">
        <v>0</v>
      </c>
      <c r="D99" s="51">
        <f t="shared" si="82"/>
        <v>0</v>
      </c>
      <c r="E99" s="24" t="str">
        <f t="shared" ref="E99:E111" si="128">+IFERROR(D99/C99,"----")</f>
        <v>----</v>
      </c>
      <c r="F99" s="50">
        <v>88672</v>
      </c>
      <c r="G99" s="12">
        <v>0</v>
      </c>
      <c r="H99" s="51">
        <f t="shared" si="84"/>
        <v>0</v>
      </c>
      <c r="I99" s="22" t="str">
        <f t="shared" si="71"/>
        <v>----</v>
      </c>
      <c r="J99" s="50">
        <v>129731</v>
      </c>
      <c r="K99" s="12">
        <v>0</v>
      </c>
      <c r="L99" s="51">
        <f t="shared" si="85"/>
        <v>0</v>
      </c>
      <c r="M99" s="22" t="str">
        <f t="shared" si="72"/>
        <v>----</v>
      </c>
      <c r="N99" s="50">
        <v>0</v>
      </c>
      <c r="O99" s="12">
        <v>0</v>
      </c>
      <c r="P99" s="51">
        <f t="shared" si="86"/>
        <v>0</v>
      </c>
      <c r="Q99" s="22" t="str">
        <f t="shared" si="73"/>
        <v>----</v>
      </c>
      <c r="R99" s="50">
        <v>139308.25</v>
      </c>
      <c r="S99" s="12">
        <v>0</v>
      </c>
      <c r="T99" s="51">
        <f t="shared" si="87"/>
        <v>0</v>
      </c>
      <c r="U99" s="22" t="str">
        <f t="shared" si="74"/>
        <v>----</v>
      </c>
      <c r="V99" s="50">
        <v>0</v>
      </c>
      <c r="W99" s="12">
        <v>0</v>
      </c>
      <c r="X99" s="51">
        <f t="shared" si="88"/>
        <v>0</v>
      </c>
      <c r="Y99" s="52" t="str">
        <f t="shared" si="75"/>
        <v>----</v>
      </c>
      <c r="Z99" s="16"/>
      <c r="AA99" s="20" t="s">
        <v>52</v>
      </c>
      <c r="AB99" s="50">
        <v>12100.25</v>
      </c>
      <c r="AC99" s="12">
        <v>0</v>
      </c>
      <c r="AD99" s="51">
        <f t="shared" si="89"/>
        <v>89210.500000000015</v>
      </c>
      <c r="AE99" s="22" t="str">
        <f t="shared" si="76"/>
        <v>----</v>
      </c>
      <c r="AF99" s="50">
        <v>11078</v>
      </c>
      <c r="AG99" s="12">
        <v>0</v>
      </c>
      <c r="AH99" s="51">
        <f t="shared" si="90"/>
        <v>107012.4</v>
      </c>
      <c r="AI99" s="22" t="str">
        <f t="shared" si="77"/>
        <v>----</v>
      </c>
      <c r="AJ99" s="50">
        <v>0</v>
      </c>
      <c r="AK99" s="12">
        <v>0</v>
      </c>
      <c r="AL99" s="51">
        <f t="shared" si="91"/>
        <v>0</v>
      </c>
      <c r="AM99" s="22" t="str">
        <f t="shared" si="78"/>
        <v>----</v>
      </c>
      <c r="AN99" s="50">
        <v>12803.5</v>
      </c>
      <c r="AO99" s="12">
        <v>0</v>
      </c>
      <c r="AP99" s="51">
        <f t="shared" si="92"/>
        <v>0</v>
      </c>
      <c r="AQ99" s="22" t="str">
        <f t="shared" si="79"/>
        <v>----</v>
      </c>
      <c r="AR99" s="50">
        <v>0</v>
      </c>
      <c r="AS99" s="12">
        <v>0</v>
      </c>
      <c r="AT99" s="51">
        <f t="shared" si="93"/>
        <v>0</v>
      </c>
      <c r="AU99" s="22" t="str">
        <f t="shared" si="80"/>
        <v>----</v>
      </c>
      <c r="AV99" s="50"/>
      <c r="AW99" s="12">
        <v>0</v>
      </c>
      <c r="AX99" s="51">
        <f t="shared" si="94"/>
        <v>0</v>
      </c>
      <c r="AY99" s="22" t="str">
        <f t="shared" si="81"/>
        <v>----</v>
      </c>
      <c r="AZ99" s="11">
        <f t="shared" si="95"/>
        <v>488215.75</v>
      </c>
      <c r="BA99" s="11">
        <f t="shared" si="96"/>
        <v>0</v>
      </c>
      <c r="BB99" s="49">
        <f t="shared" si="97"/>
        <v>196222.90000000002</v>
      </c>
      <c r="BC99" s="15">
        <v>0</v>
      </c>
    </row>
    <row r="100" spans="1:55" ht="18" customHeight="1" thickBot="1" x14ac:dyDescent="0.35">
      <c r="A100" s="28" t="s">
        <v>53</v>
      </c>
      <c r="B100" s="11">
        <v>0</v>
      </c>
      <c r="C100" s="12">
        <v>3244358.6999999997</v>
      </c>
      <c r="D100" s="51">
        <f t="shared" si="82"/>
        <v>103493.95</v>
      </c>
      <c r="E100" s="24" t="str">
        <f t="shared" ref="E100" si="129">+IFERROR(D100/B100,"----")</f>
        <v>----</v>
      </c>
      <c r="F100" s="11">
        <v>0</v>
      </c>
      <c r="G100" s="12">
        <v>1883535.7999999998</v>
      </c>
      <c r="H100" s="51">
        <f t="shared" si="84"/>
        <v>0</v>
      </c>
      <c r="I100" s="24" t="str">
        <f t="shared" ref="I100" si="130">+IFERROR(H100/F100,"----")</f>
        <v>----</v>
      </c>
      <c r="J100" s="11">
        <v>0</v>
      </c>
      <c r="K100" s="12">
        <v>1069200</v>
      </c>
      <c r="L100" s="51">
        <f t="shared" si="85"/>
        <v>0</v>
      </c>
      <c r="M100" s="24" t="str">
        <f t="shared" ref="M100" si="131">+IFERROR(L100/J100,"----")</f>
        <v>----</v>
      </c>
      <c r="N100" s="11">
        <v>0</v>
      </c>
      <c r="O100" s="12">
        <v>0</v>
      </c>
      <c r="P100" s="51">
        <f t="shared" si="86"/>
        <v>99425.9</v>
      </c>
      <c r="Q100" s="22" t="str">
        <f t="shared" ref="Q100" si="132">+IFERROR(P100/N100,"----")</f>
        <v>----</v>
      </c>
      <c r="R100" s="11">
        <v>0</v>
      </c>
      <c r="S100" s="12">
        <v>0</v>
      </c>
      <c r="T100" s="51">
        <f t="shared" si="87"/>
        <v>0</v>
      </c>
      <c r="U100" s="22" t="str">
        <f t="shared" ref="U100" si="133">+IFERROR(T100/R100,"----")</f>
        <v>----</v>
      </c>
      <c r="V100" s="11">
        <v>0</v>
      </c>
      <c r="W100" s="12">
        <v>81200</v>
      </c>
      <c r="X100" s="51">
        <f t="shared" si="88"/>
        <v>0</v>
      </c>
      <c r="Y100" s="23" t="str">
        <f t="shared" ref="Y100" si="134">+IFERROR(X100/V100,"----")</f>
        <v>----</v>
      </c>
      <c r="Z100" s="16"/>
      <c r="AA100" s="28" t="s">
        <v>54</v>
      </c>
      <c r="AB100" s="11">
        <v>0</v>
      </c>
      <c r="AC100" s="12">
        <v>198526.75</v>
      </c>
      <c r="AD100" s="51">
        <f t="shared" si="89"/>
        <v>100903.4</v>
      </c>
      <c r="AE100" s="22" t="str">
        <f t="shared" ref="AE100" si="135">+IFERROR(AD100/AB100,"----")</f>
        <v>----</v>
      </c>
      <c r="AF100" s="11">
        <v>0</v>
      </c>
      <c r="AG100" s="12">
        <v>0</v>
      </c>
      <c r="AH100" s="51">
        <f t="shared" si="90"/>
        <v>0</v>
      </c>
      <c r="AI100" s="22" t="str">
        <f t="shared" ref="AI100" si="136">+IFERROR(AH100/AF100,"----")</f>
        <v>----</v>
      </c>
      <c r="AJ100" s="11">
        <v>0</v>
      </c>
      <c r="AK100" s="11">
        <v>0</v>
      </c>
      <c r="AL100" s="51">
        <f t="shared" si="91"/>
        <v>0</v>
      </c>
      <c r="AM100" s="22" t="str">
        <f t="shared" ref="AM100" si="137">+IFERROR(AL100/AJ100,"----")</f>
        <v>----</v>
      </c>
      <c r="AN100" s="11">
        <v>120208</v>
      </c>
      <c r="AO100" s="12">
        <v>0</v>
      </c>
      <c r="AP100" s="51">
        <f t="shared" si="92"/>
        <v>0</v>
      </c>
      <c r="AQ100" s="24">
        <f t="shared" ref="AQ100" si="138">+IFERROR(AP100/AN100,"----")</f>
        <v>0</v>
      </c>
      <c r="AR100" s="11">
        <v>3081875.6</v>
      </c>
      <c r="AS100" s="12">
        <v>183988.15000000002</v>
      </c>
      <c r="AT100" s="51">
        <f t="shared" si="93"/>
        <v>0</v>
      </c>
      <c r="AU100" s="14">
        <f t="shared" ref="AU100" si="139">+IFERROR(AT100/AR100,"----")</f>
        <v>0</v>
      </c>
      <c r="AV100" s="11">
        <v>3074008.8</v>
      </c>
      <c r="AW100" s="12">
        <v>179082.85</v>
      </c>
      <c r="AX100" s="51">
        <f t="shared" si="94"/>
        <v>0</v>
      </c>
      <c r="AY100" s="22">
        <f t="shared" ref="AY100" si="140">+IFERROR(AX100/AV100,"----")</f>
        <v>0</v>
      </c>
      <c r="AZ100" s="11">
        <f t="shared" si="95"/>
        <v>6276092.4000000004</v>
      </c>
      <c r="BA100" s="11">
        <f t="shared" si="96"/>
        <v>6839892.25</v>
      </c>
      <c r="BB100" s="49">
        <f t="shared" si="97"/>
        <v>303823.25</v>
      </c>
      <c r="BC100" s="15">
        <v>0</v>
      </c>
    </row>
    <row r="101" spans="1:55" ht="12.75" customHeight="1" thickBot="1" x14ac:dyDescent="0.35">
      <c r="A101" s="28" t="s">
        <v>55</v>
      </c>
      <c r="B101" s="50">
        <v>63335.229999999996</v>
      </c>
      <c r="C101" s="12">
        <v>392939.48</v>
      </c>
      <c r="D101" s="51">
        <f t="shared" si="82"/>
        <v>1958220.27</v>
      </c>
      <c r="E101" s="24">
        <f t="shared" si="128"/>
        <v>4.9835162147616225</v>
      </c>
      <c r="F101" s="50">
        <v>4392.8999999999996</v>
      </c>
      <c r="G101" s="12">
        <v>299526.98</v>
      </c>
      <c r="H101" s="51">
        <f t="shared" si="84"/>
        <v>500296.05</v>
      </c>
      <c r="I101" s="24">
        <f t="shared" si="71"/>
        <v>1.6702870973426167</v>
      </c>
      <c r="J101" s="50">
        <v>28868.65</v>
      </c>
      <c r="K101" s="12">
        <v>201693.31</v>
      </c>
      <c r="L101" s="51">
        <f t="shared" si="85"/>
        <v>371313.25</v>
      </c>
      <c r="M101" s="22">
        <f t="shared" si="72"/>
        <v>1.8409795049721778</v>
      </c>
      <c r="N101" s="50">
        <v>13110</v>
      </c>
      <c r="O101" s="12">
        <v>269523.15000000002</v>
      </c>
      <c r="P101" s="51">
        <f t="shared" si="86"/>
        <v>234340.25</v>
      </c>
      <c r="Q101" s="22">
        <f t="shared" si="73"/>
        <v>0.86946241909090172</v>
      </c>
      <c r="R101" s="50">
        <v>138704.95000000001</v>
      </c>
      <c r="S101" s="12">
        <v>355652.9</v>
      </c>
      <c r="T101" s="51">
        <f t="shared" si="87"/>
        <v>167648.20000000001</v>
      </c>
      <c r="U101" s="22">
        <f t="shared" si="74"/>
        <v>0.47138150708176429</v>
      </c>
      <c r="V101" s="50">
        <v>262132.3</v>
      </c>
      <c r="W101" s="12">
        <v>42696.05</v>
      </c>
      <c r="X101" s="51">
        <f t="shared" si="88"/>
        <v>255890</v>
      </c>
      <c r="Y101" s="52">
        <f t="shared" si="75"/>
        <v>5.9932944616656574</v>
      </c>
      <c r="Z101" s="16"/>
      <c r="AA101" s="28" t="s">
        <v>55</v>
      </c>
      <c r="AB101" s="50">
        <v>127342.29999999999</v>
      </c>
      <c r="AC101" s="12">
        <v>370840.02</v>
      </c>
      <c r="AD101" s="51">
        <f t="shared" si="89"/>
        <v>135000</v>
      </c>
      <c r="AE101" s="22">
        <f t="shared" si="76"/>
        <v>0.36403837967649766</v>
      </c>
      <c r="AF101" s="50">
        <v>203347.04</v>
      </c>
      <c r="AG101" s="12">
        <v>341781.78000000009</v>
      </c>
      <c r="AH101" s="51">
        <f t="shared" si="90"/>
        <v>206000.34999999998</v>
      </c>
      <c r="AI101" s="22">
        <f t="shared" si="77"/>
        <v>0.60272478538791596</v>
      </c>
      <c r="AJ101" s="50">
        <v>318459.07</v>
      </c>
      <c r="AK101" s="12">
        <v>587683.52999999991</v>
      </c>
      <c r="AL101" s="51">
        <f t="shared" si="91"/>
        <v>1977840.4900000002</v>
      </c>
      <c r="AM101" s="22">
        <f t="shared" si="78"/>
        <v>3.3654856551790733</v>
      </c>
      <c r="AN101" s="50">
        <v>22298</v>
      </c>
      <c r="AO101" s="12">
        <v>579295.8899999999</v>
      </c>
      <c r="AP101" s="51">
        <f t="shared" si="92"/>
        <v>0</v>
      </c>
      <c r="AQ101" s="22">
        <f t="shared" si="79"/>
        <v>0</v>
      </c>
      <c r="AR101" s="50">
        <v>479204.05000000005</v>
      </c>
      <c r="AS101" s="12">
        <v>58387.4</v>
      </c>
      <c r="AT101" s="51">
        <f t="shared" si="93"/>
        <v>0</v>
      </c>
      <c r="AU101" s="22">
        <f t="shared" si="80"/>
        <v>0</v>
      </c>
      <c r="AV101" s="50">
        <v>1328287.02</v>
      </c>
      <c r="AW101" s="12">
        <v>1760067.8599999999</v>
      </c>
      <c r="AX101" s="51">
        <f t="shared" si="94"/>
        <v>0</v>
      </c>
      <c r="AY101" s="22">
        <f t="shared" si="81"/>
        <v>0</v>
      </c>
      <c r="AZ101" s="11">
        <f t="shared" si="95"/>
        <v>2989481.5100000002</v>
      </c>
      <c r="BA101" s="11">
        <f t="shared" si="96"/>
        <v>5260088.3499999996</v>
      </c>
      <c r="BB101" s="49">
        <f t="shared" si="97"/>
        <v>5806548.8600000003</v>
      </c>
      <c r="BC101" s="15">
        <v>0</v>
      </c>
    </row>
    <row r="102" spans="1:55" ht="12.75" customHeight="1" thickBot="1" x14ac:dyDescent="0.35">
      <c r="A102" s="28" t="s">
        <v>56</v>
      </c>
      <c r="B102" s="50">
        <v>603189.49</v>
      </c>
      <c r="C102" s="12">
        <v>495315.82999999996</v>
      </c>
      <c r="D102" s="51">
        <f t="shared" si="82"/>
        <v>606196.19000000018</v>
      </c>
      <c r="E102" s="22">
        <f t="shared" si="128"/>
        <v>1.2238578968897487</v>
      </c>
      <c r="F102" s="50">
        <v>705759.54</v>
      </c>
      <c r="G102" s="12">
        <v>395471.76999999996</v>
      </c>
      <c r="H102" s="51">
        <f t="shared" si="84"/>
        <v>719115.2300000001</v>
      </c>
      <c r="I102" s="22">
        <f t="shared" si="71"/>
        <v>1.8183731041029809</v>
      </c>
      <c r="J102" s="50">
        <v>332425.77</v>
      </c>
      <c r="K102" s="12">
        <v>338835.32</v>
      </c>
      <c r="L102" s="51">
        <f t="shared" si="85"/>
        <v>870534.71000000008</v>
      </c>
      <c r="M102" s="22">
        <f t="shared" si="72"/>
        <v>2.5691970659965437</v>
      </c>
      <c r="N102" s="50">
        <v>411565.79</v>
      </c>
      <c r="O102" s="12">
        <v>421790.7</v>
      </c>
      <c r="P102" s="51">
        <f t="shared" si="86"/>
        <v>620733.06999999983</v>
      </c>
      <c r="Q102" s="22">
        <f t="shared" si="73"/>
        <v>1.4716613476778881</v>
      </c>
      <c r="R102" s="50">
        <v>442179.79</v>
      </c>
      <c r="S102" s="12">
        <v>302613.70000000007</v>
      </c>
      <c r="T102" s="51">
        <f t="shared" si="87"/>
        <v>625892.7699999999</v>
      </c>
      <c r="U102" s="22">
        <f t="shared" si="74"/>
        <v>2.0682896048658725</v>
      </c>
      <c r="V102" s="50">
        <v>402882.74</v>
      </c>
      <c r="W102" s="12">
        <v>414795.43</v>
      </c>
      <c r="X102" s="51">
        <f t="shared" si="88"/>
        <v>1125691.5000000002</v>
      </c>
      <c r="Y102" s="52">
        <f t="shared" si="75"/>
        <v>2.7138474018385406</v>
      </c>
      <c r="Z102" s="16"/>
      <c r="AA102" s="28" t="s">
        <v>56</v>
      </c>
      <c r="AB102" s="50">
        <v>407244.82</v>
      </c>
      <c r="AC102" s="12">
        <v>446063.34000000008</v>
      </c>
      <c r="AD102" s="51">
        <f t="shared" si="89"/>
        <v>1007678.5700000001</v>
      </c>
      <c r="AE102" s="22">
        <f t="shared" si="76"/>
        <v>2.2590481656708215</v>
      </c>
      <c r="AF102" s="50">
        <v>467089.31000000017</v>
      </c>
      <c r="AG102" s="12">
        <v>393259.36000000004</v>
      </c>
      <c r="AH102" s="51">
        <f t="shared" si="90"/>
        <v>750641.15999999992</v>
      </c>
      <c r="AI102" s="22">
        <f t="shared" si="77"/>
        <v>1.9087687067384735</v>
      </c>
      <c r="AJ102" s="50">
        <v>433638.23</v>
      </c>
      <c r="AK102" s="12">
        <v>369554.02</v>
      </c>
      <c r="AL102" s="51">
        <f t="shared" si="91"/>
        <v>697154.96000000008</v>
      </c>
      <c r="AM102" s="22">
        <f t="shared" si="78"/>
        <v>1.8864764615468126</v>
      </c>
      <c r="AN102" s="50">
        <v>444097.73000000004</v>
      </c>
      <c r="AO102" s="12">
        <v>361250.38</v>
      </c>
      <c r="AP102" s="51">
        <f t="shared" si="92"/>
        <v>0</v>
      </c>
      <c r="AQ102" s="22">
        <f t="shared" si="79"/>
        <v>0</v>
      </c>
      <c r="AR102" s="50">
        <v>416512.09999999992</v>
      </c>
      <c r="AS102" s="12">
        <v>544353.65999999992</v>
      </c>
      <c r="AT102" s="51">
        <f t="shared" si="93"/>
        <v>0</v>
      </c>
      <c r="AU102" s="22">
        <f t="shared" si="80"/>
        <v>0</v>
      </c>
      <c r="AV102" s="50">
        <v>522073.88999999996</v>
      </c>
      <c r="AW102" s="12">
        <v>778719.46000000008</v>
      </c>
      <c r="AX102" s="51">
        <f t="shared" si="94"/>
        <v>0</v>
      </c>
      <c r="AY102" s="22">
        <f t="shared" si="81"/>
        <v>0</v>
      </c>
      <c r="AZ102" s="11">
        <f t="shared" si="95"/>
        <v>5588659.2000000002</v>
      </c>
      <c r="BA102" s="11">
        <f t="shared" si="96"/>
        <v>5262022.97</v>
      </c>
      <c r="BB102" s="49">
        <f t="shared" si="97"/>
        <v>7023638.1600000011</v>
      </c>
      <c r="BC102" s="15">
        <v>0</v>
      </c>
    </row>
    <row r="103" spans="1:55" ht="12.75" customHeight="1" thickBot="1" x14ac:dyDescent="0.35">
      <c r="A103" s="29" t="s">
        <v>57</v>
      </c>
      <c r="B103" s="50">
        <v>0</v>
      </c>
      <c r="C103" s="12">
        <v>0</v>
      </c>
      <c r="D103" s="51">
        <f t="shared" si="82"/>
        <v>0</v>
      </c>
      <c r="E103" s="24" t="str">
        <f t="shared" si="128"/>
        <v>----</v>
      </c>
      <c r="F103" s="50">
        <v>0</v>
      </c>
      <c r="G103" s="12">
        <v>0</v>
      </c>
      <c r="H103" s="51">
        <f t="shared" si="84"/>
        <v>0</v>
      </c>
      <c r="I103" s="24" t="str">
        <f t="shared" si="71"/>
        <v>----</v>
      </c>
      <c r="J103" s="50">
        <v>0</v>
      </c>
      <c r="K103" s="12">
        <v>0</v>
      </c>
      <c r="L103" s="51">
        <f t="shared" si="85"/>
        <v>0</v>
      </c>
      <c r="M103" s="22" t="str">
        <f t="shared" si="72"/>
        <v>----</v>
      </c>
      <c r="N103" s="50">
        <v>0</v>
      </c>
      <c r="O103" s="12">
        <v>0</v>
      </c>
      <c r="P103" s="51">
        <f t="shared" si="86"/>
        <v>0</v>
      </c>
      <c r="Q103" s="22" t="str">
        <f t="shared" si="73"/>
        <v>----</v>
      </c>
      <c r="R103" s="50">
        <v>0</v>
      </c>
      <c r="S103" s="12">
        <v>0</v>
      </c>
      <c r="T103" s="51">
        <f t="shared" si="87"/>
        <v>0</v>
      </c>
      <c r="U103" s="22" t="str">
        <f t="shared" si="74"/>
        <v>----</v>
      </c>
      <c r="V103" s="50">
        <v>0</v>
      </c>
      <c r="W103" s="12">
        <v>0</v>
      </c>
      <c r="X103" s="51">
        <f t="shared" si="88"/>
        <v>0</v>
      </c>
      <c r="Y103" s="52" t="str">
        <f t="shared" si="75"/>
        <v>----</v>
      </c>
      <c r="Z103" s="16"/>
      <c r="AA103" s="29" t="s">
        <v>57</v>
      </c>
      <c r="AB103" s="50">
        <v>0</v>
      </c>
      <c r="AC103" s="12">
        <v>0</v>
      </c>
      <c r="AD103" s="51">
        <f t="shared" si="89"/>
        <v>0</v>
      </c>
      <c r="AE103" s="22" t="str">
        <f t="shared" si="76"/>
        <v>----</v>
      </c>
      <c r="AF103" s="50">
        <v>0</v>
      </c>
      <c r="AG103" s="12">
        <v>0</v>
      </c>
      <c r="AH103" s="51">
        <f t="shared" si="90"/>
        <v>0</v>
      </c>
      <c r="AI103" s="22" t="str">
        <f t="shared" si="77"/>
        <v>----</v>
      </c>
      <c r="AJ103" s="50">
        <v>0</v>
      </c>
      <c r="AK103" s="12">
        <v>0</v>
      </c>
      <c r="AL103" s="51">
        <f t="shared" si="91"/>
        <v>0</v>
      </c>
      <c r="AM103" s="22" t="str">
        <f t="shared" si="78"/>
        <v>----</v>
      </c>
      <c r="AN103" s="50">
        <v>0</v>
      </c>
      <c r="AO103" s="12">
        <v>0</v>
      </c>
      <c r="AP103" s="51">
        <f t="shared" si="92"/>
        <v>0</v>
      </c>
      <c r="AQ103" s="22" t="str">
        <f t="shared" si="79"/>
        <v>----</v>
      </c>
      <c r="AR103" s="50">
        <v>0</v>
      </c>
      <c r="AS103" s="12">
        <v>0</v>
      </c>
      <c r="AT103" s="51">
        <f t="shared" si="93"/>
        <v>0</v>
      </c>
      <c r="AU103" s="22" t="str">
        <f t="shared" si="80"/>
        <v>----</v>
      </c>
      <c r="AV103" s="50"/>
      <c r="AW103" s="12">
        <v>0</v>
      </c>
      <c r="AX103" s="51">
        <f t="shared" si="94"/>
        <v>0</v>
      </c>
      <c r="AY103" s="22" t="str">
        <f t="shared" si="81"/>
        <v>----</v>
      </c>
      <c r="AZ103" s="11">
        <f t="shared" si="95"/>
        <v>0</v>
      </c>
      <c r="BA103" s="11">
        <f t="shared" si="96"/>
        <v>0</v>
      </c>
      <c r="BB103" s="49">
        <f t="shared" si="97"/>
        <v>0</v>
      </c>
      <c r="BC103" s="15">
        <v>0</v>
      </c>
    </row>
    <row r="104" spans="1:55" ht="12.75" customHeight="1" thickBot="1" x14ac:dyDescent="0.35">
      <c r="A104" s="30" t="s">
        <v>95</v>
      </c>
      <c r="B104" s="50"/>
      <c r="C104" s="12"/>
      <c r="D104" s="51">
        <f t="shared" si="82"/>
        <v>66989</v>
      </c>
      <c r="E104" s="22" t="str">
        <f t="shared" ref="E104" si="141">+IFERROR(D104/C104,"----")</f>
        <v>----</v>
      </c>
      <c r="F104" s="50"/>
      <c r="G104" s="12"/>
      <c r="H104" s="51">
        <f t="shared" si="84"/>
        <v>166322</v>
      </c>
      <c r="I104" s="24" t="str">
        <f t="shared" ref="I104" si="142">+IFERROR(H104/G104,"----")</f>
        <v>----</v>
      </c>
      <c r="J104" s="50"/>
      <c r="K104" s="12"/>
      <c r="L104" s="51">
        <f t="shared" si="85"/>
        <v>99092.5</v>
      </c>
      <c r="M104" s="22" t="str">
        <f t="shared" ref="M104" si="143">+IFERROR(L104/K104,"----")</f>
        <v>----</v>
      </c>
      <c r="N104" s="50"/>
      <c r="O104" s="12"/>
      <c r="P104" s="51">
        <f t="shared" si="86"/>
        <v>0</v>
      </c>
      <c r="Q104" s="22" t="str">
        <f t="shared" ref="Q104" si="144">+IFERROR(P104/O104,"----")</f>
        <v>----</v>
      </c>
      <c r="R104" s="50"/>
      <c r="S104" s="12"/>
      <c r="T104" s="51">
        <f t="shared" si="87"/>
        <v>0</v>
      </c>
      <c r="U104" s="22" t="str">
        <f t="shared" ref="U104" si="145">+IFERROR(T104/S104,"----")</f>
        <v>----</v>
      </c>
      <c r="V104" s="50"/>
      <c r="W104" s="12"/>
      <c r="X104" s="51">
        <f t="shared" si="88"/>
        <v>0</v>
      </c>
      <c r="Y104" s="52" t="str">
        <f t="shared" ref="Y104" si="146">+IFERROR(X104/W104,"----")</f>
        <v>----</v>
      </c>
      <c r="Z104" s="16"/>
      <c r="AA104" s="30" t="s">
        <v>95</v>
      </c>
      <c r="AB104" s="50"/>
      <c r="AC104" s="12"/>
      <c r="AD104" s="51">
        <f t="shared" si="89"/>
        <v>0</v>
      </c>
      <c r="AE104" s="22" t="str">
        <f t="shared" ref="AE104" si="147">+IFERROR(AD104/AC104,"----")</f>
        <v>----</v>
      </c>
      <c r="AF104" s="50"/>
      <c r="AG104" s="12"/>
      <c r="AH104" s="51">
        <f t="shared" si="90"/>
        <v>0</v>
      </c>
      <c r="AI104" s="22" t="str">
        <f t="shared" ref="AI104" si="148">+IFERROR(AH104/AG104,"----")</f>
        <v>----</v>
      </c>
      <c r="AJ104" s="50"/>
      <c r="AK104" s="12"/>
      <c r="AL104" s="51">
        <f t="shared" si="91"/>
        <v>0</v>
      </c>
      <c r="AM104" s="22" t="str">
        <f t="shared" ref="AM104" si="149">+IFERROR(AL104/AK104,"----")</f>
        <v>----</v>
      </c>
      <c r="AN104" s="50"/>
      <c r="AO104" s="12"/>
      <c r="AP104" s="51">
        <f t="shared" si="92"/>
        <v>0</v>
      </c>
      <c r="AQ104" s="22" t="str">
        <f t="shared" ref="AQ104" si="150">+IFERROR(AP104/AO104,"----")</f>
        <v>----</v>
      </c>
      <c r="AR104" s="50"/>
      <c r="AS104" s="12"/>
      <c r="AT104" s="51">
        <f t="shared" si="93"/>
        <v>0</v>
      </c>
      <c r="AU104" s="22" t="str">
        <f t="shared" ref="AU104" si="151">+IFERROR(AT104/AS104,"----")</f>
        <v>----</v>
      </c>
      <c r="AV104" s="50"/>
      <c r="AW104" s="12"/>
      <c r="AX104" s="51">
        <f t="shared" si="94"/>
        <v>0</v>
      </c>
      <c r="AY104" s="22" t="str">
        <f t="shared" ref="AY104" si="152">+IFERROR(AX104/AW104,"----")</f>
        <v>----</v>
      </c>
      <c r="AZ104" s="11">
        <f t="shared" ref="AZ104" si="153">B104+F104+J104+N104+R104+V104+AB104+AF104+AJ104+AN104+AR104+AV104</f>
        <v>0</v>
      </c>
      <c r="BA104" s="11">
        <f t="shared" ref="BA104" si="154">C104+G104+K104+O104+S104+W104+AC104+AG104+AK104+AO104+AS104+AW104</f>
        <v>0</v>
      </c>
      <c r="BB104" s="49">
        <f t="shared" ref="BB104" si="155">D104+H104+L104+P104+T104+X104+AD104+AH104+AL104+AP104+AT104+AX104</f>
        <v>332403.5</v>
      </c>
      <c r="BC104" s="15">
        <v>0</v>
      </c>
    </row>
    <row r="105" spans="1:55" ht="12.75" customHeight="1" thickBot="1" x14ac:dyDescent="0.35">
      <c r="A105" s="30" t="s">
        <v>58</v>
      </c>
      <c r="B105" s="50">
        <v>61731.9</v>
      </c>
      <c r="C105" s="12">
        <v>76169.3</v>
      </c>
      <c r="D105" s="51">
        <f t="shared" si="82"/>
        <v>32153.55</v>
      </c>
      <c r="E105" s="22">
        <f t="shared" si="128"/>
        <v>0.42213267024903733</v>
      </c>
      <c r="F105" s="50">
        <v>94899.7</v>
      </c>
      <c r="G105" s="12">
        <v>50830.399999999994</v>
      </c>
      <c r="H105" s="51">
        <f t="shared" si="84"/>
        <v>59733.2</v>
      </c>
      <c r="I105" s="24">
        <f t="shared" si="71"/>
        <v>1.1751471560326106</v>
      </c>
      <c r="J105" s="50">
        <v>97796.1</v>
      </c>
      <c r="K105" s="12">
        <v>48818.1</v>
      </c>
      <c r="L105" s="51">
        <f t="shared" si="85"/>
        <v>50112.5</v>
      </c>
      <c r="M105" s="22">
        <f t="shared" si="72"/>
        <v>1.0265147557975423</v>
      </c>
      <c r="N105" s="50">
        <v>63922.5</v>
      </c>
      <c r="O105" s="12">
        <v>67369.400000000009</v>
      </c>
      <c r="P105" s="51">
        <f t="shared" si="86"/>
        <v>10217.35</v>
      </c>
      <c r="Q105" s="22">
        <f t="shared" si="73"/>
        <v>0.1516615852300896</v>
      </c>
      <c r="R105" s="50">
        <v>87625.600000000006</v>
      </c>
      <c r="S105" s="12">
        <v>68392.100000000006</v>
      </c>
      <c r="T105" s="51">
        <f t="shared" si="87"/>
        <v>0</v>
      </c>
      <c r="U105" s="22">
        <f t="shared" si="74"/>
        <v>0</v>
      </c>
      <c r="V105" s="50">
        <v>61808</v>
      </c>
      <c r="W105" s="12">
        <v>41386.199999999997</v>
      </c>
      <c r="X105" s="51">
        <f t="shared" si="88"/>
        <v>0</v>
      </c>
      <c r="Y105" s="52">
        <f t="shared" si="75"/>
        <v>0</v>
      </c>
      <c r="Z105" s="16"/>
      <c r="AA105" s="30" t="s">
        <v>58</v>
      </c>
      <c r="AB105" s="50">
        <v>88449.1</v>
      </c>
      <c r="AC105" s="12">
        <v>63356.7</v>
      </c>
      <c r="AD105" s="51">
        <f t="shared" si="89"/>
        <v>0</v>
      </c>
      <c r="AE105" s="22">
        <f t="shared" si="76"/>
        <v>0</v>
      </c>
      <c r="AF105" s="50">
        <v>93780.2</v>
      </c>
      <c r="AG105" s="12">
        <v>56268.600000000006</v>
      </c>
      <c r="AH105" s="51">
        <f t="shared" si="90"/>
        <v>0</v>
      </c>
      <c r="AI105" s="22">
        <f t="shared" si="77"/>
        <v>0</v>
      </c>
      <c r="AJ105" s="50">
        <v>49976.7</v>
      </c>
      <c r="AK105" s="12">
        <v>49048.1</v>
      </c>
      <c r="AL105" s="51">
        <f t="shared" si="91"/>
        <v>0</v>
      </c>
      <c r="AM105" s="22">
        <f t="shared" si="78"/>
        <v>0</v>
      </c>
      <c r="AN105" s="50">
        <v>65938.100000000006</v>
      </c>
      <c r="AO105" s="12">
        <v>62111.7</v>
      </c>
      <c r="AP105" s="51">
        <f t="shared" si="92"/>
        <v>0</v>
      </c>
      <c r="AQ105" s="22">
        <f t="shared" si="79"/>
        <v>0</v>
      </c>
      <c r="AR105" s="50">
        <v>52119.399999999994</v>
      </c>
      <c r="AS105" s="12">
        <v>46702.2</v>
      </c>
      <c r="AT105" s="51">
        <f t="shared" si="93"/>
        <v>0</v>
      </c>
      <c r="AU105" s="22">
        <f t="shared" si="80"/>
        <v>0</v>
      </c>
      <c r="AV105" s="50">
        <v>103317.4</v>
      </c>
      <c r="AW105" s="12">
        <v>72927.5</v>
      </c>
      <c r="AX105" s="51">
        <f t="shared" si="94"/>
        <v>0</v>
      </c>
      <c r="AY105" s="22">
        <f t="shared" si="81"/>
        <v>0</v>
      </c>
      <c r="AZ105" s="11">
        <f t="shared" si="95"/>
        <v>921364.7</v>
      </c>
      <c r="BA105" s="11">
        <f t="shared" si="96"/>
        <v>703380.29999999993</v>
      </c>
      <c r="BB105" s="49">
        <f t="shared" si="97"/>
        <v>152216.6</v>
      </c>
      <c r="BC105" s="15">
        <v>0</v>
      </c>
    </row>
    <row r="106" spans="1:55" ht="12.75" customHeight="1" thickBot="1" x14ac:dyDescent="0.35">
      <c r="A106" s="30" t="s">
        <v>59</v>
      </c>
      <c r="B106" s="50">
        <v>55219.199999999997</v>
      </c>
      <c r="C106" s="12">
        <v>22269</v>
      </c>
      <c r="D106" s="51">
        <f t="shared" si="82"/>
        <v>50363.8</v>
      </c>
      <c r="E106" s="22">
        <f t="shared" si="128"/>
        <v>2.2616103102968252</v>
      </c>
      <c r="F106" s="50">
        <v>65856</v>
      </c>
      <c r="G106" s="12">
        <v>29133</v>
      </c>
      <c r="H106" s="51">
        <f t="shared" si="84"/>
        <v>9190.4</v>
      </c>
      <c r="I106" s="24">
        <f t="shared" si="71"/>
        <v>0.31546356365633471</v>
      </c>
      <c r="J106" s="50">
        <v>32928</v>
      </c>
      <c r="K106" s="12">
        <v>26962</v>
      </c>
      <c r="L106" s="51">
        <f t="shared" si="85"/>
        <v>21483</v>
      </c>
      <c r="M106" s="24">
        <f t="shared" si="72"/>
        <v>0.79678807210147617</v>
      </c>
      <c r="N106" s="50">
        <v>45798.400000000001</v>
      </c>
      <c r="O106" s="12">
        <v>25291.5</v>
      </c>
      <c r="P106" s="51">
        <f t="shared" si="86"/>
        <v>52404</v>
      </c>
      <c r="Q106" s="22">
        <f t="shared" si="73"/>
        <v>2.0720004744677065</v>
      </c>
      <c r="R106" s="50">
        <v>47756.800000000003</v>
      </c>
      <c r="S106" s="12">
        <v>29861</v>
      </c>
      <c r="T106" s="51">
        <f t="shared" si="87"/>
        <v>24835.8</v>
      </c>
      <c r="U106" s="22">
        <f t="shared" si="74"/>
        <v>0.83171360637620972</v>
      </c>
      <c r="V106" s="50">
        <v>26918.400000000001</v>
      </c>
      <c r="W106" s="12">
        <v>23016.5</v>
      </c>
      <c r="X106" s="51">
        <f t="shared" si="88"/>
        <v>31330.199999999997</v>
      </c>
      <c r="Y106" s="52">
        <f t="shared" si="75"/>
        <v>1.3612060912823407</v>
      </c>
      <c r="Z106" s="16"/>
      <c r="AA106" s="30" t="s">
        <v>59</v>
      </c>
      <c r="AB106" s="50">
        <v>53126.400000000001</v>
      </c>
      <c r="AC106" s="12">
        <v>35776</v>
      </c>
      <c r="AD106" s="51">
        <f t="shared" si="89"/>
        <v>26564.999999999996</v>
      </c>
      <c r="AE106" s="22">
        <f t="shared" si="76"/>
        <v>0.74253689624329144</v>
      </c>
      <c r="AF106" s="50">
        <v>27904</v>
      </c>
      <c r="AG106" s="12">
        <v>27222</v>
      </c>
      <c r="AH106" s="51">
        <f t="shared" si="90"/>
        <v>13292.400000000001</v>
      </c>
      <c r="AI106" s="22">
        <f t="shared" si="77"/>
        <v>0.48829623098964081</v>
      </c>
      <c r="AJ106" s="50">
        <v>33209.599999999999</v>
      </c>
      <c r="AK106" s="12">
        <v>23146.5</v>
      </c>
      <c r="AL106" s="51">
        <f t="shared" si="91"/>
        <v>13219.8</v>
      </c>
      <c r="AM106" s="22">
        <f t="shared" si="78"/>
        <v>0.57113602488497173</v>
      </c>
      <c r="AN106" s="50">
        <v>34637</v>
      </c>
      <c r="AO106" s="12">
        <v>22867</v>
      </c>
      <c r="AP106" s="51">
        <f t="shared" si="92"/>
        <v>0</v>
      </c>
      <c r="AQ106" s="22">
        <f t="shared" si="79"/>
        <v>0</v>
      </c>
      <c r="AR106" s="50">
        <v>26435.5</v>
      </c>
      <c r="AS106" s="12">
        <v>6305</v>
      </c>
      <c r="AT106" s="51">
        <f t="shared" si="93"/>
        <v>0</v>
      </c>
      <c r="AU106" s="22">
        <f t="shared" si="80"/>
        <v>0</v>
      </c>
      <c r="AV106" s="50">
        <v>43771</v>
      </c>
      <c r="AW106" s="12">
        <v>41385.5</v>
      </c>
      <c r="AX106" s="51">
        <f t="shared" si="94"/>
        <v>0</v>
      </c>
      <c r="AY106" s="22">
        <f t="shared" si="81"/>
        <v>0</v>
      </c>
      <c r="AZ106" s="11">
        <f t="shared" si="95"/>
        <v>493560.30000000005</v>
      </c>
      <c r="BA106" s="11">
        <f t="shared" si="96"/>
        <v>313235</v>
      </c>
      <c r="BB106" s="49">
        <f t="shared" si="97"/>
        <v>242684.4</v>
      </c>
      <c r="BC106" s="15">
        <v>0</v>
      </c>
    </row>
    <row r="107" spans="1:55" ht="12.75" customHeight="1" thickBot="1" x14ac:dyDescent="0.35">
      <c r="A107" s="30" t="s">
        <v>60</v>
      </c>
      <c r="B107" s="50">
        <v>102627.7</v>
      </c>
      <c r="C107" s="12">
        <v>86769.599999999977</v>
      </c>
      <c r="D107" s="51">
        <f t="shared" si="82"/>
        <v>78440.2</v>
      </c>
      <c r="E107" s="24">
        <f t="shared" si="128"/>
        <v>0.90400555033099173</v>
      </c>
      <c r="F107" s="50">
        <v>153492</v>
      </c>
      <c r="G107" s="12">
        <v>85262.300000000017</v>
      </c>
      <c r="H107" s="51">
        <f t="shared" si="84"/>
        <v>97483.8</v>
      </c>
      <c r="I107" s="24">
        <f t="shared" si="71"/>
        <v>1.1433400224952879</v>
      </c>
      <c r="J107" s="50">
        <v>123043.51</v>
      </c>
      <c r="K107" s="12">
        <v>78742.100000000006</v>
      </c>
      <c r="L107" s="51">
        <f t="shared" si="85"/>
        <v>62319.5</v>
      </c>
      <c r="M107" s="24">
        <f t="shared" si="72"/>
        <v>0.79143812522145074</v>
      </c>
      <c r="N107" s="50">
        <v>184087.6</v>
      </c>
      <c r="O107" s="12">
        <v>87964.799999999988</v>
      </c>
      <c r="P107" s="51">
        <f t="shared" si="86"/>
        <v>84354.8</v>
      </c>
      <c r="Q107" s="22">
        <f t="shared" si="73"/>
        <v>0.95896085707010092</v>
      </c>
      <c r="R107" s="50">
        <v>102021.1</v>
      </c>
      <c r="S107" s="12">
        <v>78561.7</v>
      </c>
      <c r="T107" s="51">
        <f t="shared" si="87"/>
        <v>61481.4</v>
      </c>
      <c r="U107" s="22">
        <f t="shared" si="74"/>
        <v>0.7825874440089764</v>
      </c>
      <c r="V107" s="50">
        <v>68151</v>
      </c>
      <c r="W107" s="12">
        <v>86597.7</v>
      </c>
      <c r="X107" s="51">
        <f t="shared" si="88"/>
        <v>83055</v>
      </c>
      <c r="Y107" s="52">
        <f t="shared" si="75"/>
        <v>0.95909013749787819</v>
      </c>
      <c r="Z107" s="16"/>
      <c r="AA107" s="30" t="s">
        <v>60</v>
      </c>
      <c r="AB107" s="50">
        <v>105981.20000000001</v>
      </c>
      <c r="AC107" s="12">
        <v>101983.7</v>
      </c>
      <c r="AD107" s="51">
        <f t="shared" si="89"/>
        <v>35461</v>
      </c>
      <c r="AE107" s="22">
        <f t="shared" si="76"/>
        <v>0.34771242855475926</v>
      </c>
      <c r="AF107" s="50">
        <v>99582.9</v>
      </c>
      <c r="AG107" s="12">
        <v>85108.1</v>
      </c>
      <c r="AH107" s="51">
        <f t="shared" si="90"/>
        <v>71395</v>
      </c>
      <c r="AI107" s="22">
        <f t="shared" si="77"/>
        <v>0.83887432571047871</v>
      </c>
      <c r="AJ107" s="50">
        <v>119245.5</v>
      </c>
      <c r="AK107" s="12">
        <v>98068.6</v>
      </c>
      <c r="AL107" s="51">
        <f t="shared" si="91"/>
        <v>55945</v>
      </c>
      <c r="AM107" s="22">
        <f t="shared" si="78"/>
        <v>0.57046801932524782</v>
      </c>
      <c r="AN107" s="50">
        <v>98374.599999999991</v>
      </c>
      <c r="AO107" s="12">
        <v>106009.90000000001</v>
      </c>
      <c r="AP107" s="51">
        <f t="shared" si="92"/>
        <v>0</v>
      </c>
      <c r="AQ107" s="22">
        <f t="shared" si="79"/>
        <v>0</v>
      </c>
      <c r="AR107" s="50">
        <v>75790.599999999991</v>
      </c>
      <c r="AS107" s="12">
        <v>81109.7</v>
      </c>
      <c r="AT107" s="51">
        <f t="shared" si="93"/>
        <v>0</v>
      </c>
      <c r="AU107" s="22">
        <f t="shared" si="80"/>
        <v>0</v>
      </c>
      <c r="AV107" s="50">
        <v>117672.09999999998</v>
      </c>
      <c r="AW107" s="12">
        <v>108260.6</v>
      </c>
      <c r="AX107" s="51">
        <f t="shared" si="94"/>
        <v>0</v>
      </c>
      <c r="AY107" s="22">
        <f t="shared" si="81"/>
        <v>0</v>
      </c>
      <c r="AZ107" s="11">
        <f t="shared" si="95"/>
        <v>1350069.8100000005</v>
      </c>
      <c r="BA107" s="11">
        <f t="shared" si="96"/>
        <v>1084438.8</v>
      </c>
      <c r="BB107" s="49">
        <f t="shared" si="97"/>
        <v>629935.69999999995</v>
      </c>
      <c r="BC107" s="15">
        <v>0</v>
      </c>
    </row>
    <row r="108" spans="1:55" ht="12.75" customHeight="1" thickBot="1" x14ac:dyDescent="0.35">
      <c r="A108" s="37" t="s">
        <v>61</v>
      </c>
      <c r="B108" s="53">
        <v>87044.7</v>
      </c>
      <c r="C108" s="12">
        <v>0</v>
      </c>
      <c r="D108" s="51">
        <f t="shared" si="82"/>
        <v>28044</v>
      </c>
      <c r="E108" s="54" t="str">
        <f t="shared" si="128"/>
        <v>----</v>
      </c>
      <c r="F108" s="53">
        <v>34422.300000000003</v>
      </c>
      <c r="G108" s="12">
        <v>0</v>
      </c>
      <c r="H108" s="51">
        <f t="shared" si="84"/>
        <v>33441.9</v>
      </c>
      <c r="I108" s="54" t="str">
        <f t="shared" si="71"/>
        <v>----</v>
      </c>
      <c r="J108" s="53">
        <v>0</v>
      </c>
      <c r="K108" s="12">
        <v>0</v>
      </c>
      <c r="L108" s="51">
        <f t="shared" si="85"/>
        <v>0</v>
      </c>
      <c r="M108" s="54" t="str">
        <f t="shared" si="72"/>
        <v>----</v>
      </c>
      <c r="N108" s="53">
        <v>132744.5</v>
      </c>
      <c r="O108" s="12">
        <v>0</v>
      </c>
      <c r="P108" s="51">
        <f t="shared" si="86"/>
        <v>13038</v>
      </c>
      <c r="Q108" s="54" t="str">
        <f t="shared" si="73"/>
        <v>----</v>
      </c>
      <c r="R108" s="53">
        <v>0</v>
      </c>
      <c r="S108" s="12">
        <v>0</v>
      </c>
      <c r="T108" s="51">
        <f t="shared" si="87"/>
        <v>0</v>
      </c>
      <c r="U108" s="54" t="str">
        <f t="shared" si="74"/>
        <v>----</v>
      </c>
      <c r="V108" s="53">
        <v>0</v>
      </c>
      <c r="W108" s="12">
        <v>0</v>
      </c>
      <c r="X108" s="51">
        <f t="shared" si="88"/>
        <v>0</v>
      </c>
      <c r="Y108" s="55" t="str">
        <f t="shared" si="75"/>
        <v>----</v>
      </c>
      <c r="Z108" s="16"/>
      <c r="AA108" s="37" t="s">
        <v>61</v>
      </c>
      <c r="AB108" s="53">
        <v>0</v>
      </c>
      <c r="AC108" s="12">
        <v>0</v>
      </c>
      <c r="AD108" s="51">
        <f t="shared" si="89"/>
        <v>47268</v>
      </c>
      <c r="AE108" s="54" t="str">
        <f t="shared" si="76"/>
        <v>----</v>
      </c>
      <c r="AF108" s="53">
        <v>59451</v>
      </c>
      <c r="AG108" s="12">
        <v>0</v>
      </c>
      <c r="AH108" s="51">
        <f t="shared" si="90"/>
        <v>54660</v>
      </c>
      <c r="AI108" s="54" t="str">
        <f t="shared" si="77"/>
        <v>----</v>
      </c>
      <c r="AJ108" s="53">
        <v>70719.899999999994</v>
      </c>
      <c r="AK108" s="12">
        <v>0</v>
      </c>
      <c r="AL108" s="51">
        <f t="shared" si="91"/>
        <v>0</v>
      </c>
      <c r="AM108" s="54" t="str">
        <f t="shared" si="78"/>
        <v>----</v>
      </c>
      <c r="AN108" s="53">
        <v>0</v>
      </c>
      <c r="AO108" s="12">
        <v>0</v>
      </c>
      <c r="AP108" s="51">
        <f t="shared" si="92"/>
        <v>0</v>
      </c>
      <c r="AQ108" s="54" t="str">
        <f t="shared" si="79"/>
        <v>----</v>
      </c>
      <c r="AR108" s="53">
        <v>146056.79999999999</v>
      </c>
      <c r="AS108" s="12">
        <v>0</v>
      </c>
      <c r="AT108" s="51">
        <f t="shared" si="93"/>
        <v>0</v>
      </c>
      <c r="AU108" s="54" t="str">
        <f t="shared" si="80"/>
        <v>----</v>
      </c>
      <c r="AV108" s="53">
        <v>636102.9</v>
      </c>
      <c r="AW108" s="12">
        <v>44693.7</v>
      </c>
      <c r="AX108" s="51">
        <f t="shared" si="94"/>
        <v>0</v>
      </c>
      <c r="AY108" s="22">
        <f t="shared" si="81"/>
        <v>0</v>
      </c>
      <c r="AZ108" s="11">
        <f t="shared" si="95"/>
        <v>1166542.1000000001</v>
      </c>
      <c r="BA108" s="11">
        <f t="shared" si="96"/>
        <v>44693.7</v>
      </c>
      <c r="BB108" s="49">
        <f t="shared" si="97"/>
        <v>176451.9</v>
      </c>
      <c r="BC108" s="15">
        <v>0</v>
      </c>
    </row>
    <row r="109" spans="1:55" ht="11.25" customHeight="1" thickBot="1" x14ac:dyDescent="0.35">
      <c r="A109" s="20" t="s">
        <v>62</v>
      </c>
      <c r="B109" s="50">
        <v>0</v>
      </c>
      <c r="C109" s="12">
        <v>56518</v>
      </c>
      <c r="D109" s="51">
        <f t="shared" si="82"/>
        <v>41387.5</v>
      </c>
      <c r="E109" s="22">
        <f t="shared" si="128"/>
        <v>0.73228882833787468</v>
      </c>
      <c r="F109" s="50">
        <v>35352.5</v>
      </c>
      <c r="G109" s="12">
        <v>74772.5</v>
      </c>
      <c r="H109" s="51">
        <f t="shared" si="84"/>
        <v>12875.5</v>
      </c>
      <c r="I109" s="22">
        <f t="shared" si="71"/>
        <v>0.17219566016917984</v>
      </c>
      <c r="J109" s="50">
        <v>26073.5</v>
      </c>
      <c r="K109" s="12">
        <v>16461.5</v>
      </c>
      <c r="L109" s="51">
        <f t="shared" si="85"/>
        <v>52008</v>
      </c>
      <c r="M109" s="22">
        <f t="shared" si="72"/>
        <v>3.1593718676912799</v>
      </c>
      <c r="N109" s="50">
        <v>33589</v>
      </c>
      <c r="O109" s="12">
        <v>50803.5</v>
      </c>
      <c r="P109" s="51">
        <f t="shared" si="86"/>
        <v>68805</v>
      </c>
      <c r="Q109" s="22">
        <f t="shared" si="73"/>
        <v>1.3543358233192595</v>
      </c>
      <c r="R109" s="50">
        <v>0</v>
      </c>
      <c r="S109" s="12">
        <v>32620.5</v>
      </c>
      <c r="T109" s="51">
        <f t="shared" si="87"/>
        <v>0</v>
      </c>
      <c r="U109" s="22">
        <f t="shared" si="74"/>
        <v>0</v>
      </c>
      <c r="V109" s="50">
        <v>17555.5</v>
      </c>
      <c r="W109" s="12">
        <v>85591</v>
      </c>
      <c r="X109" s="51">
        <f t="shared" si="88"/>
        <v>33775.5</v>
      </c>
      <c r="Y109" s="52">
        <f t="shared" si="75"/>
        <v>0.39461508803495693</v>
      </c>
      <c r="Z109" s="16"/>
      <c r="AA109" s="20" t="s">
        <v>62</v>
      </c>
      <c r="AB109" s="50">
        <v>22088</v>
      </c>
      <c r="AC109" s="12">
        <v>74563.5</v>
      </c>
      <c r="AD109" s="51">
        <f t="shared" si="89"/>
        <v>59543</v>
      </c>
      <c r="AE109" s="22">
        <f t="shared" si="76"/>
        <v>0.7985542524157262</v>
      </c>
      <c r="AF109" s="50">
        <v>17429.5</v>
      </c>
      <c r="AG109" s="12">
        <v>68194.5</v>
      </c>
      <c r="AH109" s="51">
        <f t="shared" si="90"/>
        <v>53377.5</v>
      </c>
      <c r="AI109" s="22">
        <f t="shared" si="77"/>
        <v>0.78272441325913378</v>
      </c>
      <c r="AJ109" s="50">
        <v>18205</v>
      </c>
      <c r="AK109" s="12">
        <v>51551.5</v>
      </c>
      <c r="AL109" s="51">
        <f t="shared" si="91"/>
        <v>40254.5</v>
      </c>
      <c r="AM109" s="22">
        <f t="shared" si="78"/>
        <v>0.78085991678224687</v>
      </c>
      <c r="AN109" s="50">
        <v>10824</v>
      </c>
      <c r="AO109" s="12">
        <v>11159.5</v>
      </c>
      <c r="AP109" s="51">
        <f t="shared" si="92"/>
        <v>0</v>
      </c>
      <c r="AQ109" s="22">
        <f t="shared" si="79"/>
        <v>0</v>
      </c>
      <c r="AR109" s="50">
        <v>34380.5</v>
      </c>
      <c r="AS109" s="12">
        <v>56001</v>
      </c>
      <c r="AT109" s="51">
        <f t="shared" si="93"/>
        <v>0</v>
      </c>
      <c r="AU109" s="22">
        <f t="shared" si="80"/>
        <v>0</v>
      </c>
      <c r="AV109" s="50">
        <v>47327.5</v>
      </c>
      <c r="AW109" s="12">
        <v>70642</v>
      </c>
      <c r="AX109" s="51">
        <f t="shared" si="94"/>
        <v>0</v>
      </c>
      <c r="AY109" s="22">
        <f t="shared" si="81"/>
        <v>0</v>
      </c>
      <c r="AZ109" s="11">
        <f t="shared" si="95"/>
        <v>262825</v>
      </c>
      <c r="BA109" s="11">
        <f t="shared" si="96"/>
        <v>648879</v>
      </c>
      <c r="BB109" s="49">
        <f t="shared" si="97"/>
        <v>362026.5</v>
      </c>
      <c r="BC109" s="15">
        <v>0</v>
      </c>
    </row>
    <row r="110" spans="1:55" ht="12.75" customHeight="1" thickBot="1" x14ac:dyDescent="0.35">
      <c r="A110" s="20" t="s">
        <v>63</v>
      </c>
      <c r="B110" s="12">
        <v>61962</v>
      </c>
      <c r="C110" s="12">
        <v>62892</v>
      </c>
      <c r="D110" s="51">
        <f t="shared" si="82"/>
        <v>38382.5</v>
      </c>
      <c r="E110" s="32">
        <f t="shared" si="128"/>
        <v>0.61029224702664886</v>
      </c>
      <c r="F110" s="12">
        <v>62316</v>
      </c>
      <c r="G110" s="12">
        <v>31608</v>
      </c>
      <c r="H110" s="51">
        <f t="shared" si="84"/>
        <v>42406</v>
      </c>
      <c r="I110" s="32">
        <f t="shared" si="71"/>
        <v>1.3416223740825108</v>
      </c>
      <c r="J110" s="12">
        <v>30162</v>
      </c>
      <c r="K110" s="12">
        <v>61086</v>
      </c>
      <c r="L110" s="51">
        <f t="shared" si="85"/>
        <v>78929.5</v>
      </c>
      <c r="M110" s="32">
        <f t="shared" si="72"/>
        <v>1.2921045738794485</v>
      </c>
      <c r="N110" s="12">
        <v>30540</v>
      </c>
      <c r="O110" s="12">
        <v>78727</v>
      </c>
      <c r="P110" s="51">
        <f t="shared" si="86"/>
        <v>40891.5</v>
      </c>
      <c r="Q110" s="32">
        <f t="shared" si="73"/>
        <v>0.51940884321770164</v>
      </c>
      <c r="R110" s="12">
        <v>64650</v>
      </c>
      <c r="S110" s="12">
        <v>80665</v>
      </c>
      <c r="T110" s="51">
        <f t="shared" si="87"/>
        <v>80775.5</v>
      </c>
      <c r="U110" s="32">
        <f t="shared" si="74"/>
        <v>1.0013698630136987</v>
      </c>
      <c r="V110" s="12">
        <v>33672</v>
      </c>
      <c r="W110" s="12">
        <v>80944.5</v>
      </c>
      <c r="X110" s="51">
        <f t="shared" si="88"/>
        <v>41203.5</v>
      </c>
      <c r="Y110" s="57">
        <f t="shared" si="75"/>
        <v>0.50903396771862197</v>
      </c>
      <c r="Z110" s="16"/>
      <c r="AA110" s="20" t="s">
        <v>63</v>
      </c>
      <c r="AB110" s="12">
        <v>35880</v>
      </c>
      <c r="AC110" s="12">
        <v>40963</v>
      </c>
      <c r="AD110" s="51">
        <f t="shared" si="89"/>
        <v>39182</v>
      </c>
      <c r="AE110" s="32">
        <f t="shared" si="76"/>
        <v>0.95652173913043481</v>
      </c>
      <c r="AF110" s="12">
        <v>32676</v>
      </c>
      <c r="AG110" s="12">
        <v>82543.5</v>
      </c>
      <c r="AH110" s="51">
        <f t="shared" si="90"/>
        <v>82400.5</v>
      </c>
      <c r="AI110" s="32">
        <f t="shared" si="77"/>
        <v>0.9982675801244193</v>
      </c>
      <c r="AJ110" s="12">
        <v>30936</v>
      </c>
      <c r="AK110" s="12">
        <v>79144</v>
      </c>
      <c r="AL110" s="51">
        <f t="shared" si="91"/>
        <v>41899</v>
      </c>
      <c r="AM110" s="32">
        <f t="shared" si="78"/>
        <v>0.52940210249671482</v>
      </c>
      <c r="AN110" s="12">
        <v>63264</v>
      </c>
      <c r="AO110" s="12">
        <v>34950.5</v>
      </c>
      <c r="AP110" s="51">
        <f t="shared" si="92"/>
        <v>0</v>
      </c>
      <c r="AQ110" s="22">
        <f t="shared" si="79"/>
        <v>0</v>
      </c>
      <c r="AR110" s="12">
        <v>63924</v>
      </c>
      <c r="AS110" s="12">
        <v>79924</v>
      </c>
      <c r="AT110" s="51">
        <f t="shared" si="93"/>
        <v>0</v>
      </c>
      <c r="AU110" s="32">
        <f t="shared" si="80"/>
        <v>0</v>
      </c>
      <c r="AV110" s="12">
        <v>63390</v>
      </c>
      <c r="AW110" s="12">
        <v>41853.5</v>
      </c>
      <c r="AX110" s="51">
        <f t="shared" si="94"/>
        <v>0</v>
      </c>
      <c r="AY110" s="22">
        <f t="shared" si="81"/>
        <v>0</v>
      </c>
      <c r="AZ110" s="11">
        <f t="shared" si="95"/>
        <v>573372</v>
      </c>
      <c r="BA110" s="11">
        <f t="shared" si="96"/>
        <v>755301</v>
      </c>
      <c r="BB110" s="49">
        <f t="shared" si="97"/>
        <v>486070</v>
      </c>
      <c r="BC110" s="15">
        <v>0</v>
      </c>
    </row>
    <row r="111" spans="1:55" ht="12.75" customHeight="1" thickBot="1" x14ac:dyDescent="0.35">
      <c r="A111" s="37" t="s">
        <v>64</v>
      </c>
      <c r="B111" s="12">
        <v>581558.67000000004</v>
      </c>
      <c r="C111" s="12">
        <v>1012657.35</v>
      </c>
      <c r="D111" s="51">
        <f t="shared" si="82"/>
        <v>737763.07000000007</v>
      </c>
      <c r="E111" s="32">
        <f t="shared" si="128"/>
        <v>0.72854166317955438</v>
      </c>
      <c r="F111" s="12">
        <v>729313.82</v>
      </c>
      <c r="G111" s="12"/>
      <c r="H111" s="51">
        <f t="shared" si="84"/>
        <v>891053.83</v>
      </c>
      <c r="I111" s="32" t="str">
        <f t="shared" si="71"/>
        <v>----</v>
      </c>
      <c r="J111" s="12">
        <v>721369.74</v>
      </c>
      <c r="K111" s="12">
        <v>970152.41999999993</v>
      </c>
      <c r="L111" s="51">
        <f t="shared" si="85"/>
        <v>702792.53000000014</v>
      </c>
      <c r="M111" s="32">
        <f t="shared" si="72"/>
        <v>0.72441455127226317</v>
      </c>
      <c r="N111" s="12">
        <v>620459.57999999996</v>
      </c>
      <c r="O111" s="12">
        <v>849591.35000000009</v>
      </c>
      <c r="P111" s="51">
        <f t="shared" si="86"/>
        <v>750771.90999999992</v>
      </c>
      <c r="Q111" s="32">
        <f t="shared" si="73"/>
        <v>0.88368591558753495</v>
      </c>
      <c r="R111" s="12">
        <v>833876.41999999993</v>
      </c>
      <c r="S111" s="12">
        <v>59949.25</v>
      </c>
      <c r="T111" s="51">
        <f t="shared" si="87"/>
        <v>525902.9</v>
      </c>
      <c r="U111" s="32">
        <f t="shared" si="74"/>
        <v>8.7724683795043319</v>
      </c>
      <c r="V111" s="12">
        <v>629475.82999999996</v>
      </c>
      <c r="W111" s="12">
        <v>728856.59</v>
      </c>
      <c r="X111" s="51">
        <f t="shared" si="88"/>
        <v>1166631.8799999999</v>
      </c>
      <c r="Y111" s="57">
        <f t="shared" si="75"/>
        <v>1.6006329585357799</v>
      </c>
      <c r="Z111" s="16"/>
      <c r="AA111" s="37" t="s">
        <v>64</v>
      </c>
      <c r="AB111" s="12">
        <v>667850.12000000011</v>
      </c>
      <c r="AC111" s="12">
        <v>532385.82999999996</v>
      </c>
      <c r="AD111" s="51">
        <f t="shared" si="89"/>
        <v>1328169.82</v>
      </c>
      <c r="AE111" s="32">
        <f t="shared" si="76"/>
        <v>2.4947505082920785</v>
      </c>
      <c r="AF111" s="12">
        <v>1009926.63</v>
      </c>
      <c r="AG111" s="12">
        <v>764354.45</v>
      </c>
      <c r="AH111" s="51">
        <f t="shared" si="90"/>
        <v>1302058.93</v>
      </c>
      <c r="AI111" s="32">
        <f t="shared" si="77"/>
        <v>1.7034753052068972</v>
      </c>
      <c r="AJ111" s="12">
        <v>680146.82000000007</v>
      </c>
      <c r="AK111" s="12">
        <v>631974.84</v>
      </c>
      <c r="AL111" s="51">
        <f t="shared" si="91"/>
        <v>1034051.4400000001</v>
      </c>
      <c r="AM111" s="32">
        <f t="shared" si="78"/>
        <v>1.6362224799961975</v>
      </c>
      <c r="AN111" s="12">
        <v>784464.75</v>
      </c>
      <c r="AO111" s="12">
        <v>761266.89</v>
      </c>
      <c r="AP111" s="51">
        <f t="shared" si="92"/>
        <v>0</v>
      </c>
      <c r="AQ111" s="22">
        <f t="shared" si="79"/>
        <v>0</v>
      </c>
      <c r="AR111" s="12">
        <v>802523.04</v>
      </c>
      <c r="AS111" s="12">
        <v>617152.6</v>
      </c>
      <c r="AT111" s="51">
        <f t="shared" si="93"/>
        <v>0</v>
      </c>
      <c r="AU111" s="32">
        <f t="shared" si="80"/>
        <v>0</v>
      </c>
      <c r="AV111" s="12">
        <v>958408.34999999986</v>
      </c>
      <c r="AW111" s="12">
        <v>1229425.8</v>
      </c>
      <c r="AX111" s="51">
        <f t="shared" si="94"/>
        <v>0</v>
      </c>
      <c r="AY111" s="22">
        <f t="shared" si="81"/>
        <v>0</v>
      </c>
      <c r="AZ111" s="11">
        <f t="shared" si="95"/>
        <v>9019373.7699999996</v>
      </c>
      <c r="BA111" s="11">
        <f t="shared" si="96"/>
        <v>8157767.3699999992</v>
      </c>
      <c r="BB111" s="49">
        <f t="shared" si="97"/>
        <v>8439196.3099999987</v>
      </c>
      <c r="BC111" s="15">
        <v>0</v>
      </c>
    </row>
    <row r="112" spans="1:55" ht="15" customHeight="1" thickBot="1" x14ac:dyDescent="0.35">
      <c r="A112" s="96" t="s">
        <v>65</v>
      </c>
      <c r="B112" s="11">
        <v>275608.71000000002</v>
      </c>
      <c r="C112" s="11">
        <v>152065.87</v>
      </c>
      <c r="D112" s="51">
        <f>D55</f>
        <v>126793.65999999996</v>
      </c>
      <c r="E112" s="31">
        <f t="shared" ref="E112" si="156">+IFERROR(D112/B112,"----")</f>
        <v>0.46004953907298485</v>
      </c>
      <c r="F112" s="11">
        <v>235427.02</v>
      </c>
      <c r="G112" s="11">
        <v>164410.93000000002</v>
      </c>
      <c r="H112" s="51">
        <f t="shared" si="84"/>
        <v>191859.67999999996</v>
      </c>
      <c r="I112" s="54">
        <f t="shared" si="71"/>
        <v>1.1669520998391041</v>
      </c>
      <c r="J112" s="11">
        <v>311281.01</v>
      </c>
      <c r="K112" s="11">
        <v>208483.74</v>
      </c>
      <c r="L112" s="51">
        <f t="shared" si="85"/>
        <v>180509.44999999998</v>
      </c>
      <c r="M112" s="31">
        <f t="shared" ref="M112:M113" si="157">+IFERROR(L112/J112,"----")</f>
        <v>0.5798922651915065</v>
      </c>
      <c r="N112" s="11">
        <v>240877.27</v>
      </c>
      <c r="O112" s="11">
        <v>201777.9</v>
      </c>
      <c r="P112" s="51">
        <f t="shared" si="86"/>
        <v>174777.97999999998</v>
      </c>
      <c r="Q112" s="32">
        <f t="shared" si="73"/>
        <v>0.86618990484091662</v>
      </c>
      <c r="R112" s="11">
        <v>198446.7</v>
      </c>
      <c r="S112" s="11">
        <v>141947.9</v>
      </c>
      <c r="T112" s="51">
        <f t="shared" si="87"/>
        <v>122726.98999999998</v>
      </c>
      <c r="U112" s="32">
        <f t="shared" ref="U112" si="158">+IFERROR(T112/R112,"----")</f>
        <v>0.61843804910840028</v>
      </c>
      <c r="V112" s="11">
        <v>195692.82</v>
      </c>
      <c r="W112" s="11">
        <v>115737.64</v>
      </c>
      <c r="X112" s="51">
        <f>X55</f>
        <v>161951.15000000002</v>
      </c>
      <c r="Y112" s="33">
        <f t="shared" ref="Y112:Y113" si="159">+IFERROR(X112/V112,"----")</f>
        <v>0.82757839556913748</v>
      </c>
      <c r="Z112" s="16"/>
      <c r="AA112" s="29" t="s">
        <v>65</v>
      </c>
      <c r="AB112" s="11">
        <v>246428.19</v>
      </c>
      <c r="AC112" s="11">
        <v>163177.54999999999</v>
      </c>
      <c r="AD112" s="51">
        <f>AD55</f>
        <v>201849.83</v>
      </c>
      <c r="AE112" s="32">
        <f t="shared" ref="AE112:AE113" si="160">+IFERROR(AD112/AB112,"----")</f>
        <v>0.81910202724777548</v>
      </c>
      <c r="AF112" s="11">
        <v>217325.25999999998</v>
      </c>
      <c r="AG112" s="11">
        <v>156285.20000000004</v>
      </c>
      <c r="AH112" s="51">
        <f t="shared" si="90"/>
        <v>175141.40000000005</v>
      </c>
      <c r="AI112" s="32">
        <f t="shared" ref="AI112:AI113" si="161">+IFERROR(AH112/AF112,"----")</f>
        <v>0.80589527420788576</v>
      </c>
      <c r="AJ112" s="11">
        <v>141551.09999999998</v>
      </c>
      <c r="AK112" s="11">
        <v>191693.52</v>
      </c>
      <c r="AL112" s="51">
        <f t="shared" si="91"/>
        <v>131124.6</v>
      </c>
      <c r="AM112" s="32">
        <f t="shared" ref="AM112" si="162">+IFERROR(AL112/AJ112,"----")</f>
        <v>0.92634108813001115</v>
      </c>
      <c r="AN112" s="11">
        <v>183931.27</v>
      </c>
      <c r="AO112" s="11">
        <v>177023.09000000005</v>
      </c>
      <c r="AP112" s="51">
        <f t="shared" si="92"/>
        <v>0</v>
      </c>
      <c r="AQ112" s="34">
        <f t="shared" ref="AQ112" si="163">+IFERROR(AP112/AN112,"----")</f>
        <v>0</v>
      </c>
      <c r="AR112" s="11">
        <v>200862.21000000002</v>
      </c>
      <c r="AS112" s="11">
        <v>202279.11</v>
      </c>
      <c r="AT112" s="51">
        <f t="shared" si="93"/>
        <v>0</v>
      </c>
      <c r="AU112" s="14">
        <f t="shared" ref="AU112" si="164">+IFERROR(AT112/AR112,"----")</f>
        <v>0</v>
      </c>
      <c r="AV112" s="11">
        <v>130464.18000000002</v>
      </c>
      <c r="AW112" s="11">
        <v>183109.10000000006</v>
      </c>
      <c r="AX112" s="51">
        <f t="shared" si="94"/>
        <v>0</v>
      </c>
      <c r="AY112" s="32">
        <f t="shared" ref="AY112" si="165">+IFERROR(AX112/AV112,"----")</f>
        <v>0</v>
      </c>
      <c r="AZ112" s="11">
        <f t="shared" si="95"/>
        <v>2577895.7400000002</v>
      </c>
      <c r="BA112" s="11">
        <f t="shared" si="96"/>
        <v>2057991.5500000003</v>
      </c>
      <c r="BB112" s="49">
        <f t="shared" si="97"/>
        <v>1466734.7400000002</v>
      </c>
      <c r="BC112" s="15">
        <v>0</v>
      </c>
    </row>
    <row r="113" spans="1:55" ht="15" customHeight="1" thickBot="1" x14ac:dyDescent="0.35">
      <c r="A113" s="97" t="s">
        <v>88</v>
      </c>
      <c r="B113" s="79">
        <v>37833.230000000003</v>
      </c>
      <c r="C113" s="77"/>
      <c r="D113" s="51">
        <f>D56</f>
        <v>10601.5</v>
      </c>
      <c r="E113" s="58"/>
      <c r="F113" s="79">
        <v>-5339.48999999836</v>
      </c>
      <c r="G113" s="79">
        <v>739365.70996999706</v>
      </c>
      <c r="H113" s="51">
        <f t="shared" si="84"/>
        <v>50454.1</v>
      </c>
      <c r="I113" s="22">
        <f t="shared" si="71"/>
        <v>6.8239707792301305E-2</v>
      </c>
      <c r="J113" s="79">
        <v>-88713.620000000999</v>
      </c>
      <c r="K113" s="77"/>
      <c r="L113" s="51">
        <f t="shared" si="85"/>
        <v>79677.200000000012</v>
      </c>
      <c r="M113" s="31">
        <f t="shared" si="157"/>
        <v>-0.89813942887235487</v>
      </c>
      <c r="N113" s="79">
        <v>-161430.59</v>
      </c>
      <c r="O113" s="77">
        <v>-12038.364331999799</v>
      </c>
      <c r="P113" s="51">
        <f t="shared" si="86"/>
        <v>37719.9</v>
      </c>
      <c r="Q113" s="32">
        <f t="shared" si="73"/>
        <v>-3.1333077285038451</v>
      </c>
      <c r="R113" s="79">
        <v>-289033.78959500202</v>
      </c>
      <c r="S113" s="77">
        <v>-23395.1859720014</v>
      </c>
      <c r="T113" s="51">
        <f t="shared" si="87"/>
        <v>287989.7</v>
      </c>
      <c r="U113" s="32">
        <f t="shared" si="74"/>
        <v>-12.309784600330032</v>
      </c>
      <c r="V113" s="11">
        <v>-30808.190000001301</v>
      </c>
      <c r="W113" s="77">
        <v>0</v>
      </c>
      <c r="X113" s="51">
        <f>X56</f>
        <v>158723.4</v>
      </c>
      <c r="Y113" s="33">
        <f t="shared" si="159"/>
        <v>-5.1519871826288171</v>
      </c>
      <c r="Z113" s="16"/>
      <c r="AA113" s="76" t="s">
        <v>88</v>
      </c>
      <c r="AB113" s="79"/>
      <c r="AC113" s="79">
        <v>12062.23</v>
      </c>
      <c r="AD113" s="51">
        <f>AD56</f>
        <v>103966.6</v>
      </c>
      <c r="AE113" s="32" t="str">
        <f t="shared" si="160"/>
        <v>----</v>
      </c>
      <c r="AF113" s="79">
        <v>10569.821669999499</v>
      </c>
      <c r="AG113" s="79">
        <v>69728.509999999995</v>
      </c>
      <c r="AH113" s="51">
        <f t="shared" si="90"/>
        <v>323164.3</v>
      </c>
      <c r="AI113" s="32">
        <f t="shared" si="161"/>
        <v>30.574243359019253</v>
      </c>
      <c r="AJ113" s="79"/>
      <c r="AK113" s="79">
        <v>43320.317599999697</v>
      </c>
      <c r="AL113" s="51">
        <f t="shared" si="91"/>
        <v>41372.199999999997</v>
      </c>
      <c r="AM113" s="44"/>
      <c r="AN113" s="79"/>
      <c r="AO113" s="79">
        <v>36930.164799999402</v>
      </c>
      <c r="AP113" s="51">
        <f t="shared" si="92"/>
        <v>0</v>
      </c>
      <c r="AQ113" s="58"/>
      <c r="AR113" s="79">
        <v>-46652.190000001297</v>
      </c>
      <c r="AS113" s="79">
        <v>10153.666600002</v>
      </c>
      <c r="AT113" s="51">
        <f t="shared" si="93"/>
        <v>0</v>
      </c>
      <c r="AU113" s="80"/>
      <c r="AV113" s="79"/>
      <c r="AW113" s="79">
        <v>469223.48</v>
      </c>
      <c r="AX113" s="51">
        <f t="shared" si="94"/>
        <v>0</v>
      </c>
      <c r="AY113" s="44"/>
      <c r="AZ113" s="11">
        <f t="shared" si="95"/>
        <v>-573574.81792500452</v>
      </c>
      <c r="BA113" s="11">
        <f t="shared" si="96"/>
        <v>1345350.5286659971</v>
      </c>
      <c r="BB113" s="49">
        <f t="shared" si="97"/>
        <v>1093668.8999999999</v>
      </c>
      <c r="BC113" s="15">
        <v>0</v>
      </c>
    </row>
    <row r="114" spans="1:55" ht="15" customHeight="1" thickBot="1" x14ac:dyDescent="0.35">
      <c r="A114" s="114" t="s">
        <v>93</v>
      </c>
      <c r="B114" s="79"/>
      <c r="C114" s="77"/>
      <c r="D114" s="51">
        <f t="shared" si="82"/>
        <v>0</v>
      </c>
      <c r="E114" s="58"/>
      <c r="F114" s="79"/>
      <c r="G114" s="79"/>
      <c r="H114" s="51">
        <f t="shared" si="84"/>
        <v>0</v>
      </c>
      <c r="I114" s="22" t="str">
        <f t="shared" ref="I114" si="166">+IFERROR(H114/G114,"----")</f>
        <v>----</v>
      </c>
      <c r="J114" s="79"/>
      <c r="K114" s="77"/>
      <c r="L114" s="51">
        <f t="shared" si="85"/>
        <v>648042.75</v>
      </c>
      <c r="M114" s="31" t="str">
        <f t="shared" ref="M114" si="167">+IFERROR(L114/J114,"----")</f>
        <v>----</v>
      </c>
      <c r="N114" s="79"/>
      <c r="O114" s="77"/>
      <c r="P114" s="51">
        <f t="shared" si="86"/>
        <v>0</v>
      </c>
      <c r="Q114" s="32" t="str">
        <f t="shared" ref="Q114" si="168">+IFERROR(P114/O114,"----")</f>
        <v>----</v>
      </c>
      <c r="R114" s="79"/>
      <c r="S114" s="77"/>
      <c r="T114" s="51">
        <f t="shared" si="87"/>
        <v>240568.30999999997</v>
      </c>
      <c r="U114" s="32" t="str">
        <f t="shared" ref="U114" si="169">+IFERROR(T114/S114,"----")</f>
        <v>----</v>
      </c>
      <c r="V114" s="11"/>
      <c r="W114" s="77">
        <v>0</v>
      </c>
      <c r="X114" s="51">
        <f t="shared" si="88"/>
        <v>0</v>
      </c>
      <c r="Y114" s="33" t="str">
        <f t="shared" ref="Y114" si="170">+IFERROR(X114/V114,"----")</f>
        <v>----</v>
      </c>
      <c r="Z114" s="16"/>
      <c r="AA114" s="114" t="s">
        <v>93</v>
      </c>
      <c r="AB114" s="79"/>
      <c r="AC114" s="79"/>
      <c r="AD114" s="51">
        <f t="shared" si="89"/>
        <v>0</v>
      </c>
      <c r="AE114" s="32" t="str">
        <f t="shared" ref="AE114" si="171">+IFERROR(AD114/AB114,"----")</f>
        <v>----</v>
      </c>
      <c r="AF114" s="79"/>
      <c r="AG114" s="79"/>
      <c r="AH114" s="51">
        <f t="shared" si="90"/>
        <v>0</v>
      </c>
      <c r="AI114" s="32" t="str">
        <f t="shared" ref="AI114" si="172">+IFERROR(AH114/AF114,"----")</f>
        <v>----</v>
      </c>
      <c r="AJ114" s="79"/>
      <c r="AK114" s="79"/>
      <c r="AL114" s="51">
        <f t="shared" si="91"/>
        <v>0</v>
      </c>
      <c r="AM114" s="44"/>
      <c r="AN114" s="79"/>
      <c r="AO114" s="79"/>
      <c r="AP114" s="51">
        <f t="shared" si="92"/>
        <v>0</v>
      </c>
      <c r="AQ114" s="58"/>
      <c r="AR114" s="79"/>
      <c r="AS114" s="79"/>
      <c r="AT114" s="51">
        <f t="shared" si="93"/>
        <v>0</v>
      </c>
      <c r="AU114" s="80"/>
      <c r="AV114" s="79"/>
      <c r="AW114" s="79"/>
      <c r="AX114" s="51">
        <f t="shared" si="94"/>
        <v>0</v>
      </c>
      <c r="AY114" s="44"/>
      <c r="AZ114" s="11">
        <f t="shared" ref="AZ114" si="173">B114+F114+J114+N114+R114+V114+AB114+AF114+AJ114+AN114+AR114+AV114</f>
        <v>0</v>
      </c>
      <c r="BA114" s="11">
        <f t="shared" ref="BA114" si="174">C114+G114+K114+O114+S114+W114+AC114+AG114+AK114+AO114+AS114+AW114</f>
        <v>0</v>
      </c>
      <c r="BB114" s="49">
        <f>D114+H114+L114+P114+T114+X114+AD114+AH114+AL114+AP114+AT114+AX114</f>
        <v>888611.05999999994</v>
      </c>
      <c r="BC114" s="15">
        <v>0</v>
      </c>
    </row>
    <row r="115" spans="1:55" ht="12.75" customHeight="1" thickBot="1" x14ac:dyDescent="0.35">
      <c r="A115" s="113" t="s">
        <v>66</v>
      </c>
      <c r="B115" s="38">
        <f>SUM(B62:B114)</f>
        <v>13199304.800000001</v>
      </c>
      <c r="C115" s="38">
        <f>SUM(C62:C114)</f>
        <v>14495239.694540998</v>
      </c>
      <c r="D115" s="38">
        <f>+SUM(D62:D113)</f>
        <v>12061304.150000002</v>
      </c>
      <c r="E115" s="58">
        <f>+IFERROR(D115/C115,"----")</f>
        <v>0.83208725099884817</v>
      </c>
      <c r="F115" s="38">
        <f>+SUM(F62:F114)</f>
        <v>9795300</v>
      </c>
      <c r="G115" s="38">
        <f>+SUM(G62:G114)</f>
        <v>11085875.729969997</v>
      </c>
      <c r="H115" s="38">
        <f>+SUM(H62:H113)</f>
        <v>10090569.989999998</v>
      </c>
      <c r="I115" s="58">
        <f>+IFERROR(H115/G115,"----")</f>
        <v>0.91021857323555866</v>
      </c>
      <c r="J115" s="38">
        <f>+SUM(J62:J114)</f>
        <v>11183394.119999999</v>
      </c>
      <c r="K115" s="38">
        <f>+SUM(K62:K114)</f>
        <v>9097799</v>
      </c>
      <c r="L115" s="38">
        <f>+SUM(L62:L113)</f>
        <v>12984035.499999998</v>
      </c>
      <c r="M115" s="44">
        <f>+IFERROR(L115/K115,"----")</f>
        <v>1.4271622729849271</v>
      </c>
      <c r="N115" s="38">
        <f>+SUM(N62:N114)</f>
        <v>9996674.9000000004</v>
      </c>
      <c r="O115" s="40">
        <f>+SUM(O63:O114)</f>
        <v>7373087.6156680025</v>
      </c>
      <c r="P115" s="38">
        <f>+SUM(P62:P114)</f>
        <v>11190028.820300004</v>
      </c>
      <c r="Q115" s="44">
        <f t="shared" si="73"/>
        <v>1.5176855889411787</v>
      </c>
      <c r="R115" s="38">
        <f>+SUM(R62:R114)</f>
        <v>9303905.9704049956</v>
      </c>
      <c r="S115" s="38">
        <f>+SUM(S62:S114)</f>
        <v>8248722.8399999999</v>
      </c>
      <c r="T115" s="38">
        <f>+SUM(T62:T114)</f>
        <v>10259657.170000002</v>
      </c>
      <c r="U115" s="44">
        <f t="shared" si="74"/>
        <v>1.2437873558132548</v>
      </c>
      <c r="V115" s="38">
        <f>+SUM(V62:V114)</f>
        <v>7200000</v>
      </c>
      <c r="W115" s="38">
        <f>+SUM(W62:W114)</f>
        <v>7040987.7945399983</v>
      </c>
      <c r="X115" s="38">
        <f>+SUM(X62:X114)</f>
        <v>9942527.6400000006</v>
      </c>
      <c r="Y115" s="59">
        <f t="shared" si="75"/>
        <v>1.4120927247892732</v>
      </c>
      <c r="Z115" s="16"/>
      <c r="AA115" s="39" t="s">
        <v>66</v>
      </c>
      <c r="AB115" s="38">
        <f>+SUM(AB62:AB114)</f>
        <v>8709838.7902000006</v>
      </c>
      <c r="AC115" s="38">
        <f>+SUM(AC62:AC114)</f>
        <v>9345568.5299999993</v>
      </c>
      <c r="AD115" s="38">
        <f>+SUM(AD62:AD114)</f>
        <v>14480068.790000001</v>
      </c>
      <c r="AE115" s="44">
        <f t="shared" si="76"/>
        <v>1.5494048054452607</v>
      </c>
      <c r="AF115" s="38">
        <f>+SUM(AF62:AF114)</f>
        <v>8628338.1400000006</v>
      </c>
      <c r="AG115" s="38">
        <f>+SUM(AG62:AG114)</f>
        <v>9678161.9399999995</v>
      </c>
      <c r="AH115" s="38">
        <f>+SUM(AH62:AH114)</f>
        <v>14377580.046150003</v>
      </c>
      <c r="AI115" s="44">
        <f t="shared" si="77"/>
        <v>1.4855692780596317</v>
      </c>
      <c r="AJ115" s="38">
        <f>+SUM(AJ62:AJ114)</f>
        <v>6950153.580000001</v>
      </c>
      <c r="AK115" s="38">
        <f>+SUM(AK62:AK114)</f>
        <v>8277601.8899999997</v>
      </c>
      <c r="AL115" s="38">
        <f>+SUM(AL62:AL114)</f>
        <v>11810487.760000002</v>
      </c>
      <c r="AM115" s="44">
        <f t="shared" si="78"/>
        <v>1.4268006503511612</v>
      </c>
      <c r="AN115" s="38">
        <f>+SUM(AN62:AN114)</f>
        <v>9542319.4625599999</v>
      </c>
      <c r="AO115" s="38">
        <f>+SUM(AO62:AO114)</f>
        <v>9496855.2047999986</v>
      </c>
      <c r="AP115" s="38">
        <f>+SUM(AP62:AP114)</f>
        <v>0</v>
      </c>
      <c r="AQ115" s="38">
        <f>+SUM(AQ62:AQ113)</f>
        <v>0</v>
      </c>
      <c r="AR115" s="38">
        <f>+SUM(AR62:AR114)</f>
        <v>10043060.199999999</v>
      </c>
      <c r="AS115" s="38">
        <f>+SUM(AS62:AS114)</f>
        <v>9838693</v>
      </c>
      <c r="AT115" s="38">
        <f>+SUM(AT62:AT114)</f>
        <v>0</v>
      </c>
      <c r="AU115" s="38">
        <f>+SUM(AU62:AU113)</f>
        <v>0</v>
      </c>
      <c r="AV115" s="38">
        <f>+SUM(AV62:AV114)</f>
        <v>15019156.309999999</v>
      </c>
      <c r="AW115" s="38">
        <f>+SUM(AW62:AW114)</f>
        <v>15341310.369999999</v>
      </c>
      <c r="AX115" s="38">
        <f>+SUM(AX62:AX114)</f>
        <v>0</v>
      </c>
      <c r="AY115" s="44">
        <f>+IFERROR(AX115/AW115,"----")</f>
        <v>0</v>
      </c>
      <c r="AZ115" s="50">
        <f>SUM(AZ62:AZ114)</f>
        <v>119571446.27316499</v>
      </c>
      <c r="BA115" s="50">
        <f>SUM(BA62:BA114)</f>
        <v>119319903.60951898</v>
      </c>
      <c r="BB115" s="50">
        <f>SUM(BB62:BB114)</f>
        <v>107844302.61645003</v>
      </c>
      <c r="BC115" s="15">
        <v>0</v>
      </c>
    </row>
    <row r="116" spans="1:55" ht="12.75" customHeight="1" x14ac:dyDescent="0.3"/>
    <row r="117" spans="1:55" ht="12.75" customHeight="1" thickBot="1" x14ac:dyDescent="0.35"/>
    <row r="118" spans="1:55" ht="12.75" customHeight="1" thickBot="1" x14ac:dyDescent="0.35">
      <c r="A118" s="152" t="s">
        <v>70</v>
      </c>
      <c r="B118" s="154" t="s">
        <v>71</v>
      </c>
      <c r="C118" s="158"/>
      <c r="D118" s="159"/>
      <c r="E118" s="154" t="s">
        <v>72</v>
      </c>
      <c r="F118" s="158"/>
      <c r="G118" s="159"/>
      <c r="H118" s="154" t="s">
        <v>73</v>
      </c>
      <c r="I118" s="158"/>
      <c r="J118" s="159"/>
      <c r="K118" s="154" t="s">
        <v>74</v>
      </c>
      <c r="L118" s="158"/>
      <c r="M118" s="159"/>
    </row>
    <row r="119" spans="1:55" ht="48" customHeight="1" thickBot="1" x14ac:dyDescent="0.35">
      <c r="A119" s="157"/>
      <c r="B119" s="4" t="s">
        <v>99</v>
      </c>
      <c r="C119" s="4" t="s">
        <v>100</v>
      </c>
      <c r="D119" s="60" t="s">
        <v>75</v>
      </c>
      <c r="E119" s="4" t="s">
        <v>99</v>
      </c>
      <c r="F119" s="4" t="s">
        <v>100</v>
      </c>
      <c r="G119" s="60" t="s">
        <v>75</v>
      </c>
      <c r="H119" s="4" t="s">
        <v>99</v>
      </c>
      <c r="I119" s="4" t="s">
        <v>100</v>
      </c>
      <c r="J119" s="60" t="s">
        <v>75</v>
      </c>
      <c r="K119" s="4" t="s">
        <v>99</v>
      </c>
      <c r="L119" s="4" t="s">
        <v>100</v>
      </c>
      <c r="M119" s="60" t="s">
        <v>75</v>
      </c>
      <c r="BA119" s="50"/>
    </row>
    <row r="120" spans="1:55" ht="12.75" customHeight="1" thickBot="1" x14ac:dyDescent="0.35">
      <c r="A120" s="10" t="s">
        <v>18</v>
      </c>
      <c r="B120" s="11"/>
      <c r="C120" s="12"/>
      <c r="D120" s="61"/>
      <c r="E120" s="11"/>
      <c r="F120" s="12"/>
      <c r="G120" s="61"/>
      <c r="H120" s="11"/>
      <c r="I120" s="12"/>
      <c r="J120" s="61"/>
      <c r="K120" s="11"/>
      <c r="L120" s="12"/>
      <c r="M120" s="61"/>
    </row>
    <row r="121" spans="1:55" ht="12.75" customHeight="1" x14ac:dyDescent="0.3">
      <c r="A121" s="19" t="s">
        <v>19</v>
      </c>
      <c r="B121" s="25">
        <f>+SUM(C6,G6,K6)</f>
        <v>3231250</v>
      </c>
      <c r="C121" s="51">
        <f>+SUM(D6,H6,L6)</f>
        <v>3187250</v>
      </c>
      <c r="D121" s="62">
        <f t="shared" ref="D121:D173" si="175">+IFERROR(C121/B121,"----")</f>
        <v>0.9863829787234043</v>
      </c>
      <c r="E121" s="25">
        <f>+SUM(O6,W6,S6)</f>
        <v>2812000</v>
      </c>
      <c r="F121" s="51">
        <f>+SUM(T6,X6,P6)</f>
        <v>2784000</v>
      </c>
      <c r="G121" s="62">
        <f>+IFERROR(F121/E121,"----")</f>
        <v>0.99004267425320058</v>
      </c>
      <c r="H121" s="25">
        <f>+SUM(AC6,AK6,AG6)</f>
        <v>9827177.5</v>
      </c>
      <c r="I121" s="25">
        <f>+SUM(AD6,AL6,AH6)</f>
        <v>7753250</v>
      </c>
      <c r="J121" s="62">
        <f t="shared" ref="J121:J173" si="176">+IFERROR(I121/H121,"----")</f>
        <v>0.78896000402964128</v>
      </c>
      <c r="K121" s="25">
        <f>+SUM(AW6,AO6,AS6)</f>
        <v>12000000</v>
      </c>
      <c r="L121" s="25">
        <f>+SUM(AX6,AP6,AT6)</f>
        <v>0</v>
      </c>
      <c r="M121" s="62">
        <f t="shared" ref="M121:M173" si="177">+IFERROR(L121/K121,"----")</f>
        <v>0</v>
      </c>
    </row>
    <row r="122" spans="1:55" ht="12.75" customHeight="1" x14ac:dyDescent="0.3">
      <c r="A122" s="20" t="s">
        <v>20</v>
      </c>
      <c r="B122" s="25">
        <f t="shared" ref="B122:B172" si="178">+SUM(C7,G7,K7)</f>
        <v>0</v>
      </c>
      <c r="C122" s="51">
        <f t="shared" ref="C122:C172" si="179">+SUM(D7,H7,L7)</f>
        <v>0</v>
      </c>
      <c r="D122" s="23" t="str">
        <f t="shared" si="175"/>
        <v>----</v>
      </c>
      <c r="E122" s="25">
        <f t="shared" ref="E122:E172" si="180">+SUM(O7,W7,S7)</f>
        <v>0</v>
      </c>
      <c r="F122" s="51">
        <f t="shared" ref="F122:F172" si="181">+SUM(T7,X7,P7)</f>
        <v>0</v>
      </c>
      <c r="G122" s="23" t="str">
        <f t="shared" ref="G122:G141" si="182">+IFERROR(F122/E122,"----")</f>
        <v>----</v>
      </c>
      <c r="H122" s="25">
        <f t="shared" ref="H122:H172" si="183">+SUM(AC7,AK7,AG7)</f>
        <v>0</v>
      </c>
      <c r="I122" s="25">
        <f t="shared" ref="I122:I172" si="184">+SUM(AD7,AL7,AH7)</f>
        <v>0</v>
      </c>
      <c r="J122" s="23" t="str">
        <f t="shared" si="176"/>
        <v>----</v>
      </c>
      <c r="K122" s="25">
        <f t="shared" ref="K122:K172" si="185">+SUM(AW7,AO7,AS7)</f>
        <v>0</v>
      </c>
      <c r="L122" s="25">
        <f t="shared" ref="L122:L172" si="186">+SUM(AX7,AP7,AT7)</f>
        <v>0</v>
      </c>
      <c r="M122" s="23" t="str">
        <f t="shared" si="177"/>
        <v>----</v>
      </c>
    </row>
    <row r="123" spans="1:55" ht="12.75" customHeight="1" thickBot="1" x14ac:dyDescent="0.35">
      <c r="A123" s="20" t="s">
        <v>21</v>
      </c>
      <c r="B123" s="25">
        <f t="shared" si="178"/>
        <v>0</v>
      </c>
      <c r="C123" s="51">
        <f t="shared" si="179"/>
        <v>0</v>
      </c>
      <c r="D123" s="23" t="str">
        <f t="shared" si="175"/>
        <v>----</v>
      </c>
      <c r="E123" s="25">
        <f t="shared" si="180"/>
        <v>0</v>
      </c>
      <c r="F123" s="51">
        <f t="shared" si="181"/>
        <v>0</v>
      </c>
      <c r="G123" s="23" t="str">
        <f t="shared" si="182"/>
        <v>----</v>
      </c>
      <c r="H123" s="25">
        <f t="shared" si="183"/>
        <v>0</v>
      </c>
      <c r="I123" s="25">
        <f t="shared" si="184"/>
        <v>0</v>
      </c>
      <c r="J123" s="23" t="str">
        <f t="shared" si="176"/>
        <v>----</v>
      </c>
      <c r="K123" s="25">
        <f t="shared" si="185"/>
        <v>0</v>
      </c>
      <c r="L123" s="25">
        <f t="shared" si="186"/>
        <v>0</v>
      </c>
      <c r="M123" s="23" t="str">
        <f t="shared" si="177"/>
        <v>----</v>
      </c>
    </row>
    <row r="124" spans="1:55" ht="12.75" customHeight="1" x14ac:dyDescent="0.3">
      <c r="A124" s="20" t="s">
        <v>22</v>
      </c>
      <c r="B124" s="25">
        <f t="shared" si="178"/>
        <v>2494484.4</v>
      </c>
      <c r="C124" s="51">
        <f t="shared" si="179"/>
        <v>2340431.08</v>
      </c>
      <c r="D124" s="61">
        <f t="shared" si="175"/>
        <v>0.93824241995660518</v>
      </c>
      <c r="E124" s="25">
        <f t="shared" si="180"/>
        <v>4128948.2</v>
      </c>
      <c r="F124" s="51">
        <f t="shared" si="181"/>
        <v>4133499.2</v>
      </c>
      <c r="G124" s="61">
        <f t="shared" si="182"/>
        <v>1.0011022177512423</v>
      </c>
      <c r="H124" s="25">
        <f t="shared" si="183"/>
        <v>2112000</v>
      </c>
      <c r="I124" s="25">
        <f t="shared" si="184"/>
        <v>1908000</v>
      </c>
      <c r="J124" s="61">
        <f t="shared" si="176"/>
        <v>0.90340909090909094</v>
      </c>
      <c r="K124" s="25">
        <f t="shared" si="185"/>
        <v>3000000</v>
      </c>
      <c r="L124" s="25">
        <f t="shared" si="186"/>
        <v>0</v>
      </c>
      <c r="M124" s="61">
        <f t="shared" si="177"/>
        <v>0</v>
      </c>
    </row>
    <row r="125" spans="1:55" ht="12.75" customHeight="1" x14ac:dyDescent="0.3">
      <c r="A125" s="20" t="s">
        <v>23</v>
      </c>
      <c r="B125" s="25">
        <f t="shared" si="178"/>
        <v>524818.94999999995</v>
      </c>
      <c r="C125" s="51">
        <f t="shared" si="179"/>
        <v>562620.6</v>
      </c>
      <c r="D125" s="62">
        <f t="shared" si="175"/>
        <v>1.0720279822212975</v>
      </c>
      <c r="E125" s="25">
        <f t="shared" si="180"/>
        <v>637838.5</v>
      </c>
      <c r="F125" s="51">
        <f t="shared" si="181"/>
        <v>615954.6</v>
      </c>
      <c r="G125" s="62">
        <f t="shared" si="182"/>
        <v>0.96569053138059235</v>
      </c>
      <c r="H125" s="25">
        <f t="shared" si="183"/>
        <v>666607.4</v>
      </c>
      <c r="I125" s="25">
        <f t="shared" si="184"/>
        <v>639373.69999999995</v>
      </c>
      <c r="J125" s="62">
        <f t="shared" si="176"/>
        <v>0.95914581806322574</v>
      </c>
      <c r="K125" s="25">
        <f t="shared" si="185"/>
        <v>600000</v>
      </c>
      <c r="L125" s="25">
        <f t="shared" si="186"/>
        <v>0</v>
      </c>
      <c r="M125" s="62">
        <f t="shared" si="177"/>
        <v>0</v>
      </c>
    </row>
    <row r="126" spans="1:55" ht="12.75" customHeight="1" thickBot="1" x14ac:dyDescent="0.35">
      <c r="A126" s="20" t="s">
        <v>24</v>
      </c>
      <c r="B126" s="25">
        <f t="shared" si="178"/>
        <v>193834.2</v>
      </c>
      <c r="C126" s="51">
        <f t="shared" si="179"/>
        <v>193834.2</v>
      </c>
      <c r="D126" s="23">
        <f t="shared" si="175"/>
        <v>1</v>
      </c>
      <c r="E126" s="25">
        <f t="shared" si="180"/>
        <v>237085.8</v>
      </c>
      <c r="F126" s="51">
        <f t="shared" si="181"/>
        <v>237085.8</v>
      </c>
      <c r="G126" s="23">
        <f t="shared" si="182"/>
        <v>1</v>
      </c>
      <c r="H126" s="25">
        <f t="shared" si="183"/>
        <v>161594.20000000001</v>
      </c>
      <c r="I126" s="25">
        <f t="shared" si="184"/>
        <v>118303.5</v>
      </c>
      <c r="J126" s="23">
        <f t="shared" si="176"/>
        <v>0.73210238981349574</v>
      </c>
      <c r="K126" s="25">
        <f t="shared" si="185"/>
        <v>300000</v>
      </c>
      <c r="L126" s="25">
        <f t="shared" si="186"/>
        <v>0</v>
      </c>
      <c r="M126" s="23">
        <f t="shared" si="177"/>
        <v>0</v>
      </c>
    </row>
    <row r="127" spans="1:55" ht="12.75" customHeight="1" x14ac:dyDescent="0.3">
      <c r="A127" s="19" t="s">
        <v>25</v>
      </c>
      <c r="B127" s="25">
        <f t="shared" si="178"/>
        <v>54358.7</v>
      </c>
      <c r="C127" s="51">
        <f t="shared" si="179"/>
        <v>54358.7</v>
      </c>
      <c r="D127" s="23">
        <f t="shared" si="175"/>
        <v>1</v>
      </c>
      <c r="E127" s="25">
        <f t="shared" si="180"/>
        <v>82235</v>
      </c>
      <c r="F127" s="51">
        <f t="shared" si="181"/>
        <v>57485</v>
      </c>
      <c r="G127" s="23">
        <f t="shared" si="182"/>
        <v>0.69903325834498697</v>
      </c>
      <c r="H127" s="25">
        <f t="shared" si="183"/>
        <v>31845</v>
      </c>
      <c r="I127" s="25">
        <f t="shared" si="184"/>
        <v>31845</v>
      </c>
      <c r="J127" s="23">
        <f t="shared" si="176"/>
        <v>1</v>
      </c>
      <c r="K127" s="25">
        <f t="shared" si="185"/>
        <v>300000</v>
      </c>
      <c r="L127" s="25">
        <f t="shared" si="186"/>
        <v>0</v>
      </c>
      <c r="M127" s="23">
        <f t="shared" si="177"/>
        <v>0</v>
      </c>
    </row>
    <row r="128" spans="1:55" ht="12.75" customHeight="1" x14ac:dyDescent="0.3">
      <c r="A128" s="20" t="s">
        <v>26</v>
      </c>
      <c r="B128" s="25">
        <f>+SUM(C13,G13,K13)</f>
        <v>314314</v>
      </c>
      <c r="C128" s="51">
        <f>+SUM(D13,H13,L13)</f>
        <v>314314</v>
      </c>
      <c r="D128" s="63">
        <f t="shared" si="175"/>
        <v>1</v>
      </c>
      <c r="E128" s="25">
        <f t="shared" si="180"/>
        <v>254380.5</v>
      </c>
      <c r="F128" s="51">
        <f t="shared" si="181"/>
        <v>254380.5</v>
      </c>
      <c r="G128" s="63">
        <f t="shared" si="182"/>
        <v>1</v>
      </c>
      <c r="H128" s="25">
        <f t="shared" si="183"/>
        <v>280081</v>
      </c>
      <c r="I128" s="25">
        <f t="shared" si="184"/>
        <v>254204.5</v>
      </c>
      <c r="J128" s="63">
        <f t="shared" si="176"/>
        <v>0.90761065548894782</v>
      </c>
      <c r="K128" s="25">
        <f t="shared" si="185"/>
        <v>300000</v>
      </c>
      <c r="L128" s="25">
        <f t="shared" si="186"/>
        <v>0</v>
      </c>
      <c r="M128" s="63">
        <f t="shared" si="177"/>
        <v>0</v>
      </c>
    </row>
    <row r="129" spans="1:13" ht="12.75" customHeight="1" x14ac:dyDescent="0.3">
      <c r="A129" s="20" t="s">
        <v>27</v>
      </c>
      <c r="B129" s="25">
        <f t="shared" si="178"/>
        <v>203528</v>
      </c>
      <c r="C129" s="51">
        <f t="shared" si="179"/>
        <v>203528</v>
      </c>
      <c r="D129" s="23">
        <f t="shared" si="175"/>
        <v>1</v>
      </c>
      <c r="E129" s="25">
        <f t="shared" si="180"/>
        <v>150000</v>
      </c>
      <c r="F129" s="51">
        <f t="shared" si="181"/>
        <v>72520.5</v>
      </c>
      <c r="G129" s="23">
        <f t="shared" si="182"/>
        <v>0.48347000000000001</v>
      </c>
      <c r="H129" s="25">
        <f t="shared" si="183"/>
        <v>136955</v>
      </c>
      <c r="I129" s="25">
        <f t="shared" si="184"/>
        <v>136955</v>
      </c>
      <c r="J129" s="23">
        <f t="shared" si="176"/>
        <v>1</v>
      </c>
      <c r="K129" s="25">
        <f t="shared" si="185"/>
        <v>450000</v>
      </c>
      <c r="L129" s="25">
        <f t="shared" si="186"/>
        <v>0</v>
      </c>
      <c r="M129" s="23">
        <f t="shared" si="177"/>
        <v>0</v>
      </c>
    </row>
    <row r="130" spans="1:13" ht="12.75" customHeight="1" x14ac:dyDescent="0.3">
      <c r="A130" s="20" t="s">
        <v>28</v>
      </c>
      <c r="B130" s="25">
        <f t="shared" si="178"/>
        <v>0</v>
      </c>
      <c r="C130" s="51">
        <f t="shared" si="179"/>
        <v>0</v>
      </c>
      <c r="D130" s="23" t="str">
        <f t="shared" si="175"/>
        <v>----</v>
      </c>
      <c r="E130" s="25">
        <f t="shared" si="180"/>
        <v>0</v>
      </c>
      <c r="F130" s="51">
        <f t="shared" si="181"/>
        <v>0</v>
      </c>
      <c r="G130" s="23" t="str">
        <f t="shared" si="182"/>
        <v>----</v>
      </c>
      <c r="H130" s="25">
        <f t="shared" si="183"/>
        <v>0</v>
      </c>
      <c r="I130" s="25">
        <f t="shared" si="184"/>
        <v>0</v>
      </c>
      <c r="J130" s="23" t="str">
        <f t="shared" si="176"/>
        <v>----</v>
      </c>
      <c r="K130" s="25">
        <f t="shared" si="185"/>
        <v>0</v>
      </c>
      <c r="L130" s="25">
        <f t="shared" si="186"/>
        <v>0</v>
      </c>
      <c r="M130" s="23" t="str">
        <f t="shared" si="177"/>
        <v>----</v>
      </c>
    </row>
    <row r="131" spans="1:13" ht="12.75" customHeight="1" x14ac:dyDescent="0.3">
      <c r="A131" s="20" t="s">
        <v>29</v>
      </c>
      <c r="B131" s="25">
        <f t="shared" si="178"/>
        <v>0</v>
      </c>
      <c r="C131" s="51">
        <f t="shared" si="179"/>
        <v>0</v>
      </c>
      <c r="D131" s="63" t="str">
        <f t="shared" si="175"/>
        <v>----</v>
      </c>
      <c r="E131" s="25">
        <f t="shared" si="180"/>
        <v>0</v>
      </c>
      <c r="F131" s="51">
        <f t="shared" si="181"/>
        <v>0</v>
      </c>
      <c r="G131" s="63" t="str">
        <f t="shared" si="182"/>
        <v>----</v>
      </c>
      <c r="H131" s="25">
        <f t="shared" si="183"/>
        <v>0</v>
      </c>
      <c r="I131" s="25">
        <f t="shared" si="184"/>
        <v>0</v>
      </c>
      <c r="J131" s="63" t="str">
        <f t="shared" si="176"/>
        <v>----</v>
      </c>
      <c r="K131" s="25">
        <f t="shared" si="185"/>
        <v>0</v>
      </c>
      <c r="L131" s="25">
        <f t="shared" si="186"/>
        <v>0</v>
      </c>
      <c r="M131" s="63" t="str">
        <f t="shared" si="177"/>
        <v>----</v>
      </c>
    </row>
    <row r="132" spans="1:13" ht="12.75" customHeight="1" x14ac:dyDescent="0.3">
      <c r="A132" s="20" t="s">
        <v>30</v>
      </c>
      <c r="B132" s="25">
        <f t="shared" si="178"/>
        <v>205499.7</v>
      </c>
      <c r="C132" s="51">
        <f t="shared" si="179"/>
        <v>198710.59999999998</v>
      </c>
      <c r="D132" s="23">
        <f t="shared" si="175"/>
        <v>0.96696296880238741</v>
      </c>
      <c r="E132" s="25">
        <f t="shared" si="180"/>
        <v>270482.3</v>
      </c>
      <c r="F132" s="51">
        <f t="shared" si="181"/>
        <v>270121.90000000002</v>
      </c>
      <c r="G132" s="23">
        <f t="shared" si="182"/>
        <v>0.99866756530834011</v>
      </c>
      <c r="H132" s="25">
        <f t="shared" si="183"/>
        <v>291000</v>
      </c>
      <c r="I132" s="25">
        <f t="shared" si="184"/>
        <v>291695</v>
      </c>
      <c r="J132" s="23">
        <f t="shared" si="176"/>
        <v>1.0023883161512028</v>
      </c>
      <c r="K132" s="25">
        <f t="shared" si="185"/>
        <v>210000</v>
      </c>
      <c r="L132" s="25">
        <f t="shared" si="186"/>
        <v>0</v>
      </c>
      <c r="M132" s="23">
        <f t="shared" si="177"/>
        <v>0</v>
      </c>
    </row>
    <row r="133" spans="1:13" ht="12.75" customHeight="1" x14ac:dyDescent="0.3">
      <c r="A133" s="20" t="s">
        <v>31</v>
      </c>
      <c r="B133" s="25">
        <f t="shared" si="178"/>
        <v>0</v>
      </c>
      <c r="C133" s="51">
        <f t="shared" si="179"/>
        <v>0</v>
      </c>
      <c r="D133" s="63" t="str">
        <f t="shared" ref="D133:D134" si="187">+IFERROR(C133/B133,"----")</f>
        <v>----</v>
      </c>
      <c r="E133" s="25">
        <f t="shared" si="180"/>
        <v>0</v>
      </c>
      <c r="F133" s="51">
        <f t="shared" si="181"/>
        <v>0</v>
      </c>
      <c r="G133" s="63" t="str">
        <f t="shared" ref="G133:G134" si="188">+IFERROR(F133/E133,"----")</f>
        <v>----</v>
      </c>
      <c r="H133" s="25">
        <f t="shared" si="183"/>
        <v>0</v>
      </c>
      <c r="I133" s="25">
        <f t="shared" si="184"/>
        <v>0</v>
      </c>
      <c r="J133" s="63" t="str">
        <f t="shared" ref="J133:J134" si="189">+IFERROR(I133/H133,"----")</f>
        <v>----</v>
      </c>
      <c r="K133" s="25">
        <f t="shared" si="185"/>
        <v>0</v>
      </c>
      <c r="L133" s="25">
        <f t="shared" si="186"/>
        <v>0</v>
      </c>
      <c r="M133" s="63" t="str">
        <f t="shared" ref="M133:M134" si="190">+IFERROR(L133/K133,"----")</f>
        <v>----</v>
      </c>
    </row>
    <row r="134" spans="1:13" ht="12.75" customHeight="1" x14ac:dyDescent="0.3">
      <c r="A134" s="20" t="s">
        <v>90</v>
      </c>
      <c r="B134" s="25">
        <f t="shared" si="178"/>
        <v>174600</v>
      </c>
      <c r="C134" s="51">
        <f t="shared" si="179"/>
        <v>174600</v>
      </c>
      <c r="D134" s="63">
        <f t="shared" si="187"/>
        <v>1</v>
      </c>
      <c r="E134" s="25">
        <f t="shared" si="180"/>
        <v>865980</v>
      </c>
      <c r="F134" s="51">
        <f t="shared" si="181"/>
        <v>865980</v>
      </c>
      <c r="G134" s="63">
        <f t="shared" si="188"/>
        <v>1</v>
      </c>
      <c r="H134" s="25">
        <f t="shared" si="183"/>
        <v>224000</v>
      </c>
      <c r="I134" s="25">
        <f t="shared" si="184"/>
        <v>174000</v>
      </c>
      <c r="J134" s="63">
        <f t="shared" si="189"/>
        <v>0.7767857142857143</v>
      </c>
      <c r="K134" s="25">
        <f t="shared" si="185"/>
        <v>600000</v>
      </c>
      <c r="L134" s="25">
        <f t="shared" si="186"/>
        <v>0</v>
      </c>
      <c r="M134" s="63">
        <f t="shared" si="190"/>
        <v>0</v>
      </c>
    </row>
    <row r="135" spans="1:13" ht="12.75" customHeight="1" x14ac:dyDescent="0.3">
      <c r="A135" s="20" t="s">
        <v>91</v>
      </c>
      <c r="B135" s="25">
        <f t="shared" si="178"/>
        <v>1061784.95</v>
      </c>
      <c r="C135" s="51">
        <f t="shared" si="179"/>
        <v>1030703.7</v>
      </c>
      <c r="D135" s="63">
        <f t="shared" si="175"/>
        <v>0.97072735868030524</v>
      </c>
      <c r="E135" s="25">
        <f t="shared" si="180"/>
        <v>1185959.8999999999</v>
      </c>
      <c r="F135" s="51">
        <f t="shared" si="181"/>
        <v>1185959.8999999999</v>
      </c>
      <c r="G135" s="63">
        <f t="shared" si="182"/>
        <v>1</v>
      </c>
      <c r="H135" s="25">
        <f t="shared" si="183"/>
        <v>1239815.2</v>
      </c>
      <c r="I135" s="25">
        <f t="shared" si="184"/>
        <v>1156482</v>
      </c>
      <c r="J135" s="63">
        <f t="shared" si="176"/>
        <v>0.93278578936602818</v>
      </c>
      <c r="K135" s="25">
        <f t="shared" si="185"/>
        <v>900000</v>
      </c>
      <c r="L135" s="25">
        <f t="shared" si="186"/>
        <v>0</v>
      </c>
      <c r="M135" s="63">
        <f t="shared" si="177"/>
        <v>0</v>
      </c>
    </row>
    <row r="136" spans="1:13" ht="12.75" customHeight="1" thickBot="1" x14ac:dyDescent="0.35">
      <c r="A136" s="28" t="s">
        <v>94</v>
      </c>
      <c r="B136" s="25">
        <f t="shared" si="178"/>
        <v>677243</v>
      </c>
      <c r="C136" s="51">
        <f t="shared" si="179"/>
        <v>677243</v>
      </c>
      <c r="D136" s="64">
        <f t="shared" ref="D136" si="191">+IFERROR(C136/B136,"----")</f>
        <v>1</v>
      </c>
      <c r="E136" s="25">
        <f t="shared" si="180"/>
        <v>606928.4</v>
      </c>
      <c r="F136" s="51">
        <f t="shared" si="181"/>
        <v>606928.4</v>
      </c>
      <c r="G136" s="64">
        <f t="shared" ref="G136" si="192">+IFERROR(F136/E136,"----")</f>
        <v>1</v>
      </c>
      <c r="H136" s="25">
        <f t="shared" si="183"/>
        <v>765530.3</v>
      </c>
      <c r="I136" s="25">
        <f t="shared" si="184"/>
        <v>653167.5</v>
      </c>
      <c r="J136" s="64">
        <f t="shared" ref="J136" si="193">+IFERROR(I136/H136,"----")</f>
        <v>0.85322226958227509</v>
      </c>
      <c r="K136" s="25">
        <f t="shared" si="185"/>
        <v>750000</v>
      </c>
      <c r="L136" s="25">
        <f t="shared" si="186"/>
        <v>0</v>
      </c>
      <c r="M136" s="64">
        <f t="shared" ref="M136" si="194">+IFERROR(L136/K136,"----")</f>
        <v>0</v>
      </c>
    </row>
    <row r="137" spans="1:13" ht="12.75" customHeight="1" thickBot="1" x14ac:dyDescent="0.35">
      <c r="A137" s="28" t="s">
        <v>32</v>
      </c>
      <c r="B137" s="25">
        <f t="shared" si="178"/>
        <v>106740</v>
      </c>
      <c r="C137" s="51">
        <f t="shared" si="179"/>
        <v>106740</v>
      </c>
      <c r="D137" s="64">
        <f t="shared" si="175"/>
        <v>1</v>
      </c>
      <c r="E137" s="25">
        <f t="shared" si="180"/>
        <v>101340.6</v>
      </c>
      <c r="F137" s="51">
        <f t="shared" si="181"/>
        <v>101340.6</v>
      </c>
      <c r="G137" s="64">
        <f t="shared" si="182"/>
        <v>1</v>
      </c>
      <c r="H137" s="25">
        <f t="shared" si="183"/>
        <v>3250232.4</v>
      </c>
      <c r="I137" s="25">
        <f t="shared" si="184"/>
        <v>2984781.3</v>
      </c>
      <c r="J137" s="64">
        <f t="shared" si="176"/>
        <v>0.91832857859641048</v>
      </c>
      <c r="K137" s="25">
        <f t="shared" si="185"/>
        <v>1500000</v>
      </c>
      <c r="L137" s="25">
        <f t="shared" si="186"/>
        <v>0</v>
      </c>
      <c r="M137" s="64">
        <f t="shared" si="177"/>
        <v>0</v>
      </c>
    </row>
    <row r="138" spans="1:13" ht="12.75" customHeight="1" x14ac:dyDescent="0.3">
      <c r="A138" s="29" t="s">
        <v>33</v>
      </c>
      <c r="B138" s="25">
        <f t="shared" si="178"/>
        <v>0</v>
      </c>
      <c r="C138" s="51">
        <f t="shared" si="179"/>
        <v>0</v>
      </c>
      <c r="D138" s="61" t="str">
        <f t="shared" si="175"/>
        <v>----</v>
      </c>
      <c r="E138" s="25">
        <f t="shared" si="180"/>
        <v>0</v>
      </c>
      <c r="F138" s="51">
        <f t="shared" si="181"/>
        <v>0</v>
      </c>
      <c r="G138" s="61" t="str">
        <f t="shared" si="182"/>
        <v>----</v>
      </c>
      <c r="H138" s="25">
        <f t="shared" si="183"/>
        <v>0</v>
      </c>
      <c r="I138" s="25">
        <f t="shared" si="184"/>
        <v>0</v>
      </c>
      <c r="J138" s="61" t="str">
        <f t="shared" si="176"/>
        <v>----</v>
      </c>
      <c r="K138" s="25">
        <f t="shared" si="185"/>
        <v>0</v>
      </c>
      <c r="L138" s="25">
        <f t="shared" si="186"/>
        <v>0</v>
      </c>
      <c r="M138" s="61" t="str">
        <f t="shared" si="177"/>
        <v>----</v>
      </c>
    </row>
    <row r="139" spans="1:13" ht="12.75" customHeight="1" x14ac:dyDescent="0.3">
      <c r="A139" s="30" t="s">
        <v>34</v>
      </c>
      <c r="B139" s="25">
        <f t="shared" si="178"/>
        <v>2005487</v>
      </c>
      <c r="C139" s="51">
        <f t="shared" si="179"/>
        <v>2055299</v>
      </c>
      <c r="D139" s="62">
        <f t="shared" si="175"/>
        <v>1.0248378573383921</v>
      </c>
      <c r="E139" s="25">
        <f t="shared" si="180"/>
        <v>1859889</v>
      </c>
      <c r="F139" s="51">
        <f t="shared" si="181"/>
        <v>1859889</v>
      </c>
      <c r="G139" s="62">
        <f t="shared" si="182"/>
        <v>1</v>
      </c>
      <c r="H139" s="25">
        <f t="shared" si="183"/>
        <v>1877217</v>
      </c>
      <c r="I139" s="25">
        <f t="shared" si="184"/>
        <v>1621106</v>
      </c>
      <c r="J139" s="62">
        <f t="shared" si="176"/>
        <v>0.8635687829377211</v>
      </c>
      <c r="K139" s="25">
        <f t="shared" si="185"/>
        <v>2500000</v>
      </c>
      <c r="L139" s="25">
        <f t="shared" si="186"/>
        <v>0</v>
      </c>
      <c r="M139" s="62">
        <f t="shared" si="177"/>
        <v>0</v>
      </c>
    </row>
    <row r="140" spans="1:13" ht="12.75" customHeight="1" x14ac:dyDescent="0.3">
      <c r="A140" s="20" t="s">
        <v>35</v>
      </c>
      <c r="B140" s="25">
        <f t="shared" si="178"/>
        <v>14851.05</v>
      </c>
      <c r="C140" s="51">
        <f t="shared" si="179"/>
        <v>14851.05</v>
      </c>
      <c r="D140" s="23">
        <f t="shared" si="175"/>
        <v>1</v>
      </c>
      <c r="E140" s="25">
        <f t="shared" si="180"/>
        <v>603.45000000000005</v>
      </c>
      <c r="F140" s="51">
        <f t="shared" si="181"/>
        <v>603.45000000000005</v>
      </c>
      <c r="G140" s="23">
        <f t="shared" si="182"/>
        <v>1</v>
      </c>
      <c r="H140" s="25">
        <f t="shared" si="183"/>
        <v>0</v>
      </c>
      <c r="I140" s="25">
        <f t="shared" si="184"/>
        <v>0</v>
      </c>
      <c r="J140" s="23" t="str">
        <f t="shared" si="176"/>
        <v>----</v>
      </c>
      <c r="K140" s="25">
        <f t="shared" si="185"/>
        <v>0</v>
      </c>
      <c r="L140" s="25">
        <f t="shared" si="186"/>
        <v>0</v>
      </c>
      <c r="M140" s="23" t="str">
        <f t="shared" si="177"/>
        <v>----</v>
      </c>
    </row>
    <row r="141" spans="1:13" ht="12.75" customHeight="1" x14ac:dyDescent="0.3">
      <c r="A141" s="20" t="s">
        <v>36</v>
      </c>
      <c r="B141" s="25">
        <f t="shared" si="178"/>
        <v>8363940.0299999993</v>
      </c>
      <c r="C141" s="51">
        <f t="shared" si="179"/>
        <v>8466596.2300000004</v>
      </c>
      <c r="D141" s="23">
        <f t="shared" si="175"/>
        <v>1.0122736652381283</v>
      </c>
      <c r="E141" s="25">
        <f t="shared" si="180"/>
        <v>5168089.4503000006</v>
      </c>
      <c r="F141" s="51">
        <f t="shared" si="181"/>
        <v>5168089.4503000006</v>
      </c>
      <c r="G141" s="23">
        <f t="shared" si="182"/>
        <v>1</v>
      </c>
      <c r="H141" s="25">
        <f t="shared" si="183"/>
        <v>8778374.786150001</v>
      </c>
      <c r="I141" s="25">
        <f t="shared" si="184"/>
        <v>7188751.1761499997</v>
      </c>
      <c r="J141" s="23">
        <f t="shared" si="176"/>
        <v>0.81891595554703189</v>
      </c>
      <c r="K141" s="25">
        <f t="shared" si="185"/>
        <v>10500000</v>
      </c>
      <c r="L141" s="25">
        <f t="shared" si="186"/>
        <v>0</v>
      </c>
      <c r="M141" s="23">
        <f t="shared" si="177"/>
        <v>0</v>
      </c>
    </row>
    <row r="142" spans="1:13" ht="12.75" customHeight="1" x14ac:dyDescent="0.3">
      <c r="A142" s="20" t="s">
        <v>37</v>
      </c>
      <c r="B142" s="25">
        <f t="shared" si="178"/>
        <v>295784.28999999992</v>
      </c>
      <c r="C142" s="51">
        <f t="shared" si="179"/>
        <v>295784.28999999992</v>
      </c>
      <c r="D142" s="62">
        <f t="shared" si="175"/>
        <v>1</v>
      </c>
      <c r="E142" s="25">
        <f t="shared" si="180"/>
        <v>152683.87</v>
      </c>
      <c r="F142" s="51">
        <f t="shared" si="181"/>
        <v>152683.87</v>
      </c>
      <c r="G142" s="62">
        <f>+IFERROR(F142/E142,"----")</f>
        <v>1</v>
      </c>
      <c r="H142" s="25">
        <f t="shared" si="183"/>
        <v>180416.02</v>
      </c>
      <c r="I142" s="25">
        <f t="shared" si="184"/>
        <v>180416.02</v>
      </c>
      <c r="J142" s="62">
        <f t="shared" si="176"/>
        <v>1</v>
      </c>
      <c r="K142" s="25">
        <f t="shared" si="185"/>
        <v>300000</v>
      </c>
      <c r="L142" s="25">
        <f t="shared" si="186"/>
        <v>0</v>
      </c>
      <c r="M142" s="62">
        <f t="shared" si="177"/>
        <v>0</v>
      </c>
    </row>
    <row r="143" spans="1:13" ht="12.75" customHeight="1" x14ac:dyDescent="0.3">
      <c r="A143" s="20" t="s">
        <v>38</v>
      </c>
      <c r="B143" s="25">
        <f t="shared" si="178"/>
        <v>0</v>
      </c>
      <c r="C143" s="51">
        <f t="shared" si="179"/>
        <v>0</v>
      </c>
      <c r="D143" s="23" t="str">
        <f t="shared" si="175"/>
        <v>----</v>
      </c>
      <c r="E143" s="25">
        <f t="shared" si="180"/>
        <v>0</v>
      </c>
      <c r="F143" s="51">
        <f t="shared" si="181"/>
        <v>0</v>
      </c>
      <c r="G143" s="23" t="str">
        <f t="shared" ref="G143:G173" si="195">+IFERROR(F143/E143,"----")</f>
        <v>----</v>
      </c>
      <c r="H143" s="25">
        <f t="shared" si="183"/>
        <v>0</v>
      </c>
      <c r="I143" s="25">
        <f t="shared" si="184"/>
        <v>0</v>
      </c>
      <c r="J143" s="23" t="str">
        <f t="shared" si="176"/>
        <v>----</v>
      </c>
      <c r="K143" s="25">
        <f t="shared" si="185"/>
        <v>0</v>
      </c>
      <c r="L143" s="25">
        <f t="shared" si="186"/>
        <v>0</v>
      </c>
      <c r="M143" s="23" t="str">
        <f t="shared" si="177"/>
        <v>----</v>
      </c>
    </row>
    <row r="144" spans="1:13" ht="12.75" customHeight="1" thickBot="1" x14ac:dyDescent="0.35">
      <c r="A144" s="20" t="s">
        <v>39</v>
      </c>
      <c r="B144" s="25">
        <f t="shared" si="178"/>
        <v>0</v>
      </c>
      <c r="C144" s="51">
        <f>+SUM(D29,H29,L29)</f>
        <v>0</v>
      </c>
      <c r="D144" s="23" t="str">
        <f t="shared" si="175"/>
        <v>----</v>
      </c>
      <c r="E144" s="25">
        <f t="shared" si="180"/>
        <v>0</v>
      </c>
      <c r="F144" s="51">
        <f t="shared" si="181"/>
        <v>0</v>
      </c>
      <c r="G144" s="23" t="str">
        <f t="shared" si="195"/>
        <v>----</v>
      </c>
      <c r="H144" s="25">
        <f t="shared" si="183"/>
        <v>0</v>
      </c>
      <c r="I144" s="25">
        <f t="shared" si="184"/>
        <v>0</v>
      </c>
      <c r="J144" s="23" t="str">
        <f t="shared" si="176"/>
        <v>----</v>
      </c>
      <c r="K144" s="25">
        <f t="shared" si="185"/>
        <v>0</v>
      </c>
      <c r="L144" s="25">
        <f t="shared" si="186"/>
        <v>0</v>
      </c>
      <c r="M144" s="23" t="str">
        <f t="shared" si="177"/>
        <v>----</v>
      </c>
    </row>
    <row r="145" spans="1:13" ht="12.75" customHeight="1" x14ac:dyDescent="0.3">
      <c r="A145" s="20" t="s">
        <v>40</v>
      </c>
      <c r="B145" s="25">
        <f t="shared" si="178"/>
        <v>45501.39</v>
      </c>
      <c r="C145" s="51">
        <f>+SUM(D30,H30,L30)</f>
        <v>38567.619999999995</v>
      </c>
      <c r="D145" s="61">
        <f t="shared" si="175"/>
        <v>0.84761410585478814</v>
      </c>
      <c r="E145" s="25">
        <f t="shared" si="180"/>
        <v>28406</v>
      </c>
      <c r="F145" s="51">
        <f t="shared" si="181"/>
        <v>24366</v>
      </c>
      <c r="G145" s="61">
        <f t="shared" si="195"/>
        <v>0.85777652608603816</v>
      </c>
      <c r="H145" s="25">
        <f t="shared" si="183"/>
        <v>55070</v>
      </c>
      <c r="I145" s="25">
        <f t="shared" si="184"/>
        <v>45348</v>
      </c>
      <c r="J145" s="61">
        <f t="shared" si="176"/>
        <v>0.82346104957327038</v>
      </c>
      <c r="K145" s="25">
        <f t="shared" si="185"/>
        <v>30000</v>
      </c>
      <c r="L145" s="25">
        <f t="shared" si="186"/>
        <v>0</v>
      </c>
      <c r="M145" s="61">
        <f t="shared" si="177"/>
        <v>0</v>
      </c>
    </row>
    <row r="146" spans="1:13" ht="12.75" customHeight="1" x14ac:dyDescent="0.3">
      <c r="A146" s="29" t="s">
        <v>41</v>
      </c>
      <c r="B146" s="25">
        <f t="shared" si="178"/>
        <v>0</v>
      </c>
      <c r="C146" s="51">
        <f t="shared" si="179"/>
        <v>0</v>
      </c>
      <c r="D146" s="62" t="str">
        <f t="shared" si="175"/>
        <v>----</v>
      </c>
      <c r="E146" s="25">
        <f t="shared" si="180"/>
        <v>0</v>
      </c>
      <c r="F146" s="51">
        <f t="shared" si="181"/>
        <v>0</v>
      </c>
      <c r="G146" s="62" t="str">
        <f t="shared" si="195"/>
        <v>----</v>
      </c>
      <c r="H146" s="25">
        <f t="shared" si="183"/>
        <v>0</v>
      </c>
      <c r="I146" s="25">
        <f t="shared" si="184"/>
        <v>0</v>
      </c>
      <c r="J146" s="62" t="str">
        <f t="shared" si="176"/>
        <v>----</v>
      </c>
      <c r="K146" s="25">
        <f t="shared" si="185"/>
        <v>0</v>
      </c>
      <c r="L146" s="25">
        <f t="shared" si="186"/>
        <v>0</v>
      </c>
      <c r="M146" s="62" t="str">
        <f t="shared" si="177"/>
        <v>----</v>
      </c>
    </row>
    <row r="147" spans="1:13" ht="12.75" customHeight="1" x14ac:dyDescent="0.3">
      <c r="A147" s="20" t="s">
        <v>42</v>
      </c>
      <c r="B147" s="25">
        <f t="shared" si="178"/>
        <v>964849.29999999993</v>
      </c>
      <c r="C147" s="51">
        <f t="shared" si="179"/>
        <v>964849.29999999993</v>
      </c>
      <c r="D147" s="23">
        <f t="shared" si="175"/>
        <v>1</v>
      </c>
      <c r="E147" s="25">
        <f t="shared" si="180"/>
        <v>920859.7</v>
      </c>
      <c r="F147" s="51">
        <f t="shared" si="181"/>
        <v>920859.7</v>
      </c>
      <c r="G147" s="23">
        <f t="shared" si="195"/>
        <v>1</v>
      </c>
      <c r="H147" s="25">
        <f t="shared" si="183"/>
        <v>1220881.0999999999</v>
      </c>
      <c r="I147" s="25">
        <f t="shared" si="184"/>
        <v>820881.1</v>
      </c>
      <c r="J147" s="23">
        <f t="shared" si="176"/>
        <v>0.67236776783586871</v>
      </c>
      <c r="K147" s="25">
        <f t="shared" si="185"/>
        <v>1200000</v>
      </c>
      <c r="L147" s="25">
        <f t="shared" si="186"/>
        <v>0</v>
      </c>
      <c r="M147" s="23">
        <f t="shared" si="177"/>
        <v>0</v>
      </c>
    </row>
    <row r="148" spans="1:13" ht="12.75" customHeight="1" x14ac:dyDescent="0.3">
      <c r="A148" s="30" t="s">
        <v>43</v>
      </c>
      <c r="B148" s="25">
        <f t="shared" si="178"/>
        <v>0</v>
      </c>
      <c r="C148" s="51">
        <f t="shared" si="179"/>
        <v>0</v>
      </c>
      <c r="D148" s="23" t="str">
        <f t="shared" si="175"/>
        <v>----</v>
      </c>
      <c r="E148" s="25">
        <f t="shared" si="180"/>
        <v>0</v>
      </c>
      <c r="F148" s="51">
        <f t="shared" si="181"/>
        <v>0</v>
      </c>
      <c r="G148" s="23" t="str">
        <f t="shared" si="195"/>
        <v>----</v>
      </c>
      <c r="H148" s="25">
        <f t="shared" si="183"/>
        <v>0</v>
      </c>
      <c r="I148" s="25">
        <f t="shared" si="184"/>
        <v>0</v>
      </c>
      <c r="J148" s="23" t="str">
        <f t="shared" si="176"/>
        <v>----</v>
      </c>
      <c r="K148" s="25">
        <f t="shared" si="185"/>
        <v>0</v>
      </c>
      <c r="L148" s="25">
        <f t="shared" si="186"/>
        <v>0</v>
      </c>
      <c r="M148" s="23" t="str">
        <f t="shared" si="177"/>
        <v>----</v>
      </c>
    </row>
    <row r="149" spans="1:13" ht="12.75" customHeight="1" x14ac:dyDescent="0.3">
      <c r="A149" s="20" t="s">
        <v>44</v>
      </c>
      <c r="B149" s="25">
        <f t="shared" si="178"/>
        <v>1887817.2000000002</v>
      </c>
      <c r="C149" s="51">
        <f t="shared" si="179"/>
        <v>1882401.6</v>
      </c>
      <c r="D149" s="63">
        <f t="shared" si="175"/>
        <v>0.9971312900422773</v>
      </c>
      <c r="E149" s="25">
        <f t="shared" si="180"/>
        <v>1583326.4</v>
      </c>
      <c r="F149" s="51">
        <f t="shared" si="181"/>
        <v>1530898.4</v>
      </c>
      <c r="G149" s="63">
        <f t="shared" si="195"/>
        <v>0.96688743394918442</v>
      </c>
      <c r="H149" s="25">
        <f t="shared" si="183"/>
        <v>2156507.6</v>
      </c>
      <c r="I149" s="25">
        <f t="shared" si="184"/>
        <v>1535215.6</v>
      </c>
      <c r="J149" s="63">
        <f t="shared" si="176"/>
        <v>0.71189899817649616</v>
      </c>
      <c r="K149" s="25">
        <f t="shared" si="185"/>
        <v>2300000</v>
      </c>
      <c r="L149" s="25">
        <f t="shared" si="186"/>
        <v>0</v>
      </c>
      <c r="M149" s="63">
        <f t="shared" si="177"/>
        <v>0</v>
      </c>
    </row>
    <row r="150" spans="1:13" ht="12.75" customHeight="1" x14ac:dyDescent="0.3">
      <c r="A150" s="30" t="s">
        <v>45</v>
      </c>
      <c r="B150" s="25">
        <f t="shared" si="178"/>
        <v>0</v>
      </c>
      <c r="C150" s="51">
        <f t="shared" si="179"/>
        <v>0</v>
      </c>
      <c r="D150" s="23" t="str">
        <f t="shared" si="175"/>
        <v>----</v>
      </c>
      <c r="E150" s="25">
        <f t="shared" si="180"/>
        <v>0</v>
      </c>
      <c r="F150" s="51" t="e">
        <f>+SUM(#REF!,X35,P35)</f>
        <v>#REF!</v>
      </c>
      <c r="G150" s="23" t="str">
        <f t="shared" si="195"/>
        <v>----</v>
      </c>
      <c r="H150" s="25">
        <f t="shared" si="183"/>
        <v>0</v>
      </c>
      <c r="I150" s="25">
        <f t="shared" si="184"/>
        <v>0</v>
      </c>
      <c r="J150" s="23" t="str">
        <f t="shared" si="176"/>
        <v>----</v>
      </c>
      <c r="K150" s="25">
        <f t="shared" si="185"/>
        <v>0</v>
      </c>
      <c r="L150" s="25">
        <f t="shared" si="186"/>
        <v>0</v>
      </c>
      <c r="M150" s="23" t="str">
        <f t="shared" si="177"/>
        <v>----</v>
      </c>
    </row>
    <row r="151" spans="1:13" ht="12.75" customHeight="1" x14ac:dyDescent="0.3">
      <c r="A151" s="30" t="s">
        <v>46</v>
      </c>
      <c r="B151" s="25">
        <f t="shared" si="178"/>
        <v>252367.5</v>
      </c>
      <c r="C151" s="51">
        <f t="shared" si="179"/>
        <v>252367.5</v>
      </c>
      <c r="D151" s="23">
        <f t="shared" si="175"/>
        <v>1</v>
      </c>
      <c r="E151" s="25">
        <f t="shared" si="180"/>
        <v>265995</v>
      </c>
      <c r="F151" s="51">
        <f>+SUM(T35,X36,P36)</f>
        <v>136367</v>
      </c>
      <c r="G151" s="23">
        <f t="shared" si="195"/>
        <v>0.5126675313445741</v>
      </c>
      <c r="H151" s="25">
        <f t="shared" si="183"/>
        <v>309863.5</v>
      </c>
      <c r="I151" s="25">
        <f t="shared" si="184"/>
        <v>280082.5</v>
      </c>
      <c r="J151" s="23">
        <f t="shared" si="176"/>
        <v>0.90388993863426959</v>
      </c>
      <c r="K151" s="25">
        <f t="shared" si="185"/>
        <v>300000</v>
      </c>
      <c r="L151" s="25">
        <f t="shared" si="186"/>
        <v>0</v>
      </c>
      <c r="M151" s="23">
        <f t="shared" si="177"/>
        <v>0</v>
      </c>
    </row>
    <row r="152" spans="1:13" ht="12.75" customHeight="1" x14ac:dyDescent="0.3">
      <c r="A152" s="20" t="s">
        <v>47</v>
      </c>
      <c r="B152" s="25">
        <f t="shared" si="178"/>
        <v>0</v>
      </c>
      <c r="C152" s="51">
        <f t="shared" si="179"/>
        <v>0</v>
      </c>
      <c r="D152" s="63" t="str">
        <f t="shared" si="175"/>
        <v>----</v>
      </c>
      <c r="E152" s="25">
        <f t="shared" si="180"/>
        <v>0</v>
      </c>
      <c r="F152" s="51">
        <f t="shared" si="181"/>
        <v>0</v>
      </c>
      <c r="G152" s="63" t="str">
        <f t="shared" si="195"/>
        <v>----</v>
      </c>
      <c r="H152" s="25">
        <f t="shared" si="183"/>
        <v>0</v>
      </c>
      <c r="I152" s="25">
        <f t="shared" si="184"/>
        <v>0</v>
      </c>
      <c r="J152" s="63" t="str">
        <f t="shared" si="176"/>
        <v>----</v>
      </c>
      <c r="K152" s="25">
        <f t="shared" si="185"/>
        <v>0</v>
      </c>
      <c r="L152" s="25">
        <f t="shared" si="186"/>
        <v>0</v>
      </c>
      <c r="M152" s="63" t="str">
        <f t="shared" si="177"/>
        <v>----</v>
      </c>
    </row>
    <row r="153" spans="1:13" ht="12.75" customHeight="1" x14ac:dyDescent="0.3">
      <c r="A153" s="30" t="s">
        <v>48</v>
      </c>
      <c r="B153" s="25">
        <f t="shared" si="178"/>
        <v>654135.5</v>
      </c>
      <c r="C153" s="51">
        <f t="shared" si="179"/>
        <v>640920.9</v>
      </c>
      <c r="D153" s="23">
        <f t="shared" si="175"/>
        <v>0.97979837510729817</v>
      </c>
      <c r="E153" s="25">
        <f t="shared" si="180"/>
        <v>947769.20000000007</v>
      </c>
      <c r="F153" s="51">
        <f t="shared" si="181"/>
        <v>947769.20000000007</v>
      </c>
      <c r="G153" s="23">
        <f t="shared" si="195"/>
        <v>1</v>
      </c>
      <c r="H153" s="25">
        <f t="shared" si="183"/>
        <v>653782.60000000009</v>
      </c>
      <c r="I153" s="25">
        <f t="shared" si="184"/>
        <v>648535.94999999995</v>
      </c>
      <c r="J153" s="23">
        <f t="shared" si="176"/>
        <v>0.99197493172806961</v>
      </c>
      <c r="K153" s="25">
        <f t="shared" si="185"/>
        <v>750000</v>
      </c>
      <c r="L153" s="25">
        <f t="shared" si="186"/>
        <v>0</v>
      </c>
      <c r="M153" s="23">
        <f t="shared" si="177"/>
        <v>0</v>
      </c>
    </row>
    <row r="154" spans="1:13" ht="12.75" customHeight="1" x14ac:dyDescent="0.3">
      <c r="A154" s="20" t="s">
        <v>49</v>
      </c>
      <c r="B154" s="25">
        <f t="shared" si="178"/>
        <v>13984</v>
      </c>
      <c r="C154" s="51">
        <f t="shared" si="179"/>
        <v>13984</v>
      </c>
      <c r="D154" s="63">
        <f t="shared" si="175"/>
        <v>1</v>
      </c>
      <c r="E154" s="25">
        <f>+SUM(O39,W39,S39)</f>
        <v>12320</v>
      </c>
      <c r="F154" s="51">
        <f t="shared" si="181"/>
        <v>12320</v>
      </c>
      <c r="G154" s="63">
        <f t="shared" si="195"/>
        <v>1</v>
      </c>
      <c r="H154" s="25">
        <f t="shared" si="183"/>
        <v>0</v>
      </c>
      <c r="I154" s="25">
        <f t="shared" si="184"/>
        <v>0</v>
      </c>
      <c r="J154" s="63" t="str">
        <f t="shared" si="176"/>
        <v>----</v>
      </c>
      <c r="K154" s="25">
        <f t="shared" si="185"/>
        <v>0</v>
      </c>
      <c r="L154" s="25">
        <f t="shared" si="186"/>
        <v>0</v>
      </c>
      <c r="M154" s="63" t="str">
        <f t="shared" si="177"/>
        <v>----</v>
      </c>
    </row>
    <row r="155" spans="1:13" ht="12.75" customHeight="1" thickBot="1" x14ac:dyDescent="0.35">
      <c r="A155" s="20" t="s">
        <v>50</v>
      </c>
      <c r="B155" s="25">
        <f t="shared" si="178"/>
        <v>898951.95</v>
      </c>
      <c r="C155" s="51">
        <f t="shared" si="179"/>
        <v>1019255.5499999999</v>
      </c>
      <c r="D155" s="64">
        <f t="shared" si="175"/>
        <v>1.1338265076348073</v>
      </c>
      <c r="E155" s="25">
        <f>+SUM(O40,W40,S40)</f>
        <v>652910.4</v>
      </c>
      <c r="F155" s="51">
        <f t="shared" si="181"/>
        <v>652910.4</v>
      </c>
      <c r="G155" s="64">
        <f t="shared" si="195"/>
        <v>1</v>
      </c>
      <c r="H155" s="25">
        <f t="shared" si="183"/>
        <v>608910.65</v>
      </c>
      <c r="I155" s="25">
        <f t="shared" si="184"/>
        <v>601368</v>
      </c>
      <c r="J155" s="64">
        <f t="shared" si="176"/>
        <v>0.9876128788353431</v>
      </c>
      <c r="K155" s="25">
        <f t="shared" si="185"/>
        <v>900000</v>
      </c>
      <c r="L155" s="25">
        <f t="shared" si="186"/>
        <v>0</v>
      </c>
      <c r="M155" s="64">
        <f t="shared" si="177"/>
        <v>0</v>
      </c>
    </row>
    <row r="156" spans="1:13" ht="12.75" customHeight="1" x14ac:dyDescent="0.3">
      <c r="A156" s="20" t="s">
        <v>51</v>
      </c>
      <c r="B156" s="25">
        <f t="shared" si="178"/>
        <v>1224865.7</v>
      </c>
      <c r="C156" s="51">
        <f t="shared" si="179"/>
        <v>1224865.7</v>
      </c>
      <c r="D156" s="61">
        <f t="shared" si="175"/>
        <v>1</v>
      </c>
      <c r="E156" s="25">
        <f t="shared" si="180"/>
        <v>1419287.4</v>
      </c>
      <c r="F156" s="51">
        <f t="shared" si="181"/>
        <v>1416647.4</v>
      </c>
      <c r="G156" s="61">
        <f t="shared" si="195"/>
        <v>0.99813991162043714</v>
      </c>
      <c r="H156" s="25">
        <f t="shared" si="183"/>
        <v>1299071.1000000001</v>
      </c>
      <c r="I156" s="25">
        <f t="shared" si="184"/>
        <v>1297571.1000000001</v>
      </c>
      <c r="J156" s="61">
        <f t="shared" si="176"/>
        <v>0.99884532878916332</v>
      </c>
      <c r="K156" s="25">
        <f t="shared" si="185"/>
        <v>900000</v>
      </c>
      <c r="L156" s="25">
        <f t="shared" si="186"/>
        <v>0</v>
      </c>
      <c r="M156" s="61">
        <f t="shared" si="177"/>
        <v>0</v>
      </c>
    </row>
    <row r="157" spans="1:13" ht="12.75" customHeight="1" x14ac:dyDescent="0.3">
      <c r="A157" s="20" t="s">
        <v>52</v>
      </c>
      <c r="B157" s="25">
        <f t="shared" si="178"/>
        <v>0</v>
      </c>
      <c r="C157" s="51">
        <f t="shared" si="179"/>
        <v>0</v>
      </c>
      <c r="D157" s="62" t="str">
        <f t="shared" si="175"/>
        <v>----</v>
      </c>
      <c r="E157" s="25">
        <f t="shared" si="180"/>
        <v>0</v>
      </c>
      <c r="F157" s="51">
        <f t="shared" si="181"/>
        <v>0</v>
      </c>
      <c r="G157" s="62" t="str">
        <f t="shared" si="195"/>
        <v>----</v>
      </c>
      <c r="H157" s="25">
        <f t="shared" si="183"/>
        <v>207012.4</v>
      </c>
      <c r="I157" s="25">
        <f t="shared" si="184"/>
        <v>196222.90000000002</v>
      </c>
      <c r="J157" s="62">
        <f t="shared" si="176"/>
        <v>0.94787993376242208</v>
      </c>
      <c r="K157" s="25">
        <f t="shared" si="185"/>
        <v>0</v>
      </c>
      <c r="L157" s="25">
        <f t="shared" si="186"/>
        <v>0</v>
      </c>
      <c r="M157" s="62" t="str">
        <f t="shared" si="177"/>
        <v>----</v>
      </c>
    </row>
    <row r="158" spans="1:13" ht="12.75" customHeight="1" x14ac:dyDescent="0.3">
      <c r="A158" s="20" t="s">
        <v>54</v>
      </c>
      <c r="B158" s="25">
        <f t="shared" si="178"/>
        <v>103493.95</v>
      </c>
      <c r="C158" s="51">
        <f t="shared" si="179"/>
        <v>103493.95</v>
      </c>
      <c r="D158" s="62">
        <f t="shared" si="175"/>
        <v>1</v>
      </c>
      <c r="E158" s="25">
        <f t="shared" si="180"/>
        <v>99425.9</v>
      </c>
      <c r="F158" s="51">
        <f t="shared" si="181"/>
        <v>99425.9</v>
      </c>
      <c r="G158" s="62">
        <f t="shared" si="195"/>
        <v>1</v>
      </c>
      <c r="H158" s="25">
        <f t="shared" si="183"/>
        <v>100903.4</v>
      </c>
      <c r="I158" s="25">
        <f t="shared" si="184"/>
        <v>100903.4</v>
      </c>
      <c r="J158" s="62">
        <f t="shared" si="176"/>
        <v>1</v>
      </c>
      <c r="K158" s="25">
        <f t="shared" si="185"/>
        <v>300000</v>
      </c>
      <c r="L158" s="25">
        <f t="shared" si="186"/>
        <v>0</v>
      </c>
      <c r="M158" s="62">
        <f t="shared" si="177"/>
        <v>0</v>
      </c>
    </row>
    <row r="159" spans="1:13" ht="12.75" customHeight="1" x14ac:dyDescent="0.3">
      <c r="A159" s="28" t="s">
        <v>55</v>
      </c>
      <c r="B159" s="25">
        <f t="shared" si="178"/>
        <v>2871609.3</v>
      </c>
      <c r="C159" s="51">
        <f t="shared" si="179"/>
        <v>2829829.57</v>
      </c>
      <c r="D159" s="23">
        <f t="shared" si="175"/>
        <v>0.98545076100707707</v>
      </c>
      <c r="E159" s="25">
        <f t="shared" si="180"/>
        <v>690230.25</v>
      </c>
      <c r="F159" s="51">
        <f t="shared" si="181"/>
        <v>657878.44999999995</v>
      </c>
      <c r="G159" s="23">
        <f t="shared" si="195"/>
        <v>0.95312897399092544</v>
      </c>
      <c r="H159" s="25">
        <f t="shared" si="183"/>
        <v>2341000.35</v>
      </c>
      <c r="I159" s="25">
        <f t="shared" si="184"/>
        <v>2318840.8400000003</v>
      </c>
      <c r="J159" s="23">
        <f t="shared" si="176"/>
        <v>0.99053417057370374</v>
      </c>
      <c r="K159" s="25">
        <f t="shared" si="185"/>
        <v>900000</v>
      </c>
      <c r="L159" s="25">
        <f t="shared" si="186"/>
        <v>0</v>
      </c>
      <c r="M159" s="23">
        <f t="shared" si="177"/>
        <v>0</v>
      </c>
    </row>
    <row r="160" spans="1:13" ht="12.75" customHeight="1" x14ac:dyDescent="0.3">
      <c r="A160" s="28" t="s">
        <v>56</v>
      </c>
      <c r="B160" s="25">
        <f t="shared" si="178"/>
        <v>2195846.1300000004</v>
      </c>
      <c r="C160" s="51">
        <f t="shared" si="179"/>
        <v>2195846.1300000004</v>
      </c>
      <c r="D160" s="23">
        <f t="shared" si="175"/>
        <v>1</v>
      </c>
      <c r="E160" s="25">
        <f t="shared" si="180"/>
        <v>2372317.34</v>
      </c>
      <c r="F160" s="51">
        <f t="shared" si="181"/>
        <v>2372317.34</v>
      </c>
      <c r="G160" s="23">
        <f t="shared" si="195"/>
        <v>1</v>
      </c>
      <c r="H160" s="25">
        <f t="shared" si="183"/>
        <v>2658149.73</v>
      </c>
      <c r="I160" s="25">
        <f t="shared" si="184"/>
        <v>2455474.6900000004</v>
      </c>
      <c r="J160" s="23">
        <f t="shared" si="176"/>
        <v>0.9237533395080797</v>
      </c>
      <c r="K160" s="25">
        <f t="shared" si="185"/>
        <v>1800000</v>
      </c>
      <c r="L160" s="25">
        <f t="shared" si="186"/>
        <v>0</v>
      </c>
      <c r="M160" s="23">
        <f t="shared" si="177"/>
        <v>0</v>
      </c>
    </row>
    <row r="161" spans="1:13" ht="12.75" customHeight="1" x14ac:dyDescent="0.3">
      <c r="A161" s="29" t="s">
        <v>57</v>
      </c>
      <c r="B161" s="25">
        <f t="shared" si="178"/>
        <v>0</v>
      </c>
      <c r="C161" s="51">
        <f t="shared" si="179"/>
        <v>0</v>
      </c>
      <c r="D161" s="63" t="str">
        <f t="shared" si="175"/>
        <v>----</v>
      </c>
      <c r="E161" s="25">
        <f t="shared" si="180"/>
        <v>0</v>
      </c>
      <c r="F161" s="51">
        <f t="shared" si="181"/>
        <v>0</v>
      </c>
      <c r="G161" s="63" t="str">
        <f t="shared" si="195"/>
        <v>----</v>
      </c>
      <c r="H161" s="25">
        <f t="shared" si="183"/>
        <v>0</v>
      </c>
      <c r="I161" s="25">
        <f t="shared" si="184"/>
        <v>0</v>
      </c>
      <c r="J161" s="63" t="str">
        <f t="shared" si="176"/>
        <v>----</v>
      </c>
      <c r="K161" s="25">
        <f t="shared" si="185"/>
        <v>0</v>
      </c>
      <c r="L161" s="25">
        <f t="shared" si="186"/>
        <v>0</v>
      </c>
      <c r="M161" s="63" t="str">
        <f t="shared" si="177"/>
        <v>----</v>
      </c>
    </row>
    <row r="162" spans="1:13" ht="12.75" customHeight="1" x14ac:dyDescent="0.3">
      <c r="A162" s="30" t="s">
        <v>95</v>
      </c>
      <c r="B162" s="25">
        <f t="shared" si="178"/>
        <v>332403.5</v>
      </c>
      <c r="C162" s="51">
        <f t="shared" si="179"/>
        <v>332403.5</v>
      </c>
      <c r="D162" s="23">
        <f t="shared" ref="D162" si="196">+IFERROR(C162/B162,"----")</f>
        <v>1</v>
      </c>
      <c r="E162" s="25">
        <f t="shared" si="180"/>
        <v>0</v>
      </c>
      <c r="F162" s="51">
        <f t="shared" si="181"/>
        <v>0</v>
      </c>
      <c r="G162" s="23" t="str">
        <f t="shared" ref="G162" si="197">+IFERROR(F162/E162,"----")</f>
        <v>----</v>
      </c>
      <c r="H162" s="25">
        <f t="shared" si="183"/>
        <v>0</v>
      </c>
      <c r="I162" s="25">
        <f t="shared" si="184"/>
        <v>0</v>
      </c>
      <c r="J162" s="23" t="str">
        <f t="shared" ref="J162" si="198">+IFERROR(I162/H162,"----")</f>
        <v>----</v>
      </c>
      <c r="K162" s="25">
        <f t="shared" si="185"/>
        <v>0</v>
      </c>
      <c r="L162" s="25">
        <f t="shared" si="186"/>
        <v>0</v>
      </c>
      <c r="M162" s="23" t="str">
        <f t="shared" ref="M162" si="199">+IFERROR(L162/K162,"----")</f>
        <v>----</v>
      </c>
    </row>
    <row r="163" spans="1:13" ht="12.75" customHeight="1" x14ac:dyDescent="0.3">
      <c r="A163" s="30" t="s">
        <v>58</v>
      </c>
      <c r="B163" s="25">
        <f t="shared" si="178"/>
        <v>159845.70000000001</v>
      </c>
      <c r="C163" s="51">
        <f t="shared" si="179"/>
        <v>141999.25</v>
      </c>
      <c r="D163" s="23">
        <f t="shared" si="175"/>
        <v>0.88835201697637156</v>
      </c>
      <c r="E163" s="25">
        <f t="shared" si="180"/>
        <v>10217.35</v>
      </c>
      <c r="F163" s="51">
        <f t="shared" si="181"/>
        <v>10217.35</v>
      </c>
      <c r="G163" s="23">
        <f t="shared" si="195"/>
        <v>1</v>
      </c>
      <c r="H163" s="25">
        <f t="shared" si="183"/>
        <v>0</v>
      </c>
      <c r="I163" s="25">
        <f t="shared" si="184"/>
        <v>0</v>
      </c>
      <c r="J163" s="23" t="str">
        <f t="shared" si="176"/>
        <v>----</v>
      </c>
      <c r="K163" s="25">
        <f t="shared" si="185"/>
        <v>0</v>
      </c>
      <c r="L163" s="25">
        <f t="shared" si="186"/>
        <v>0</v>
      </c>
      <c r="M163" s="23" t="str">
        <f t="shared" si="177"/>
        <v>----</v>
      </c>
    </row>
    <row r="164" spans="1:13" ht="12.75" customHeight="1" x14ac:dyDescent="0.3">
      <c r="A164" s="30" t="s">
        <v>59</v>
      </c>
      <c r="B164" s="25">
        <f t="shared" si="178"/>
        <v>60673.4</v>
      </c>
      <c r="C164" s="51">
        <f t="shared" si="179"/>
        <v>81037.200000000012</v>
      </c>
      <c r="D164" s="23">
        <f t="shared" si="175"/>
        <v>1.3356297817494982</v>
      </c>
      <c r="E164" s="25">
        <f t="shared" si="180"/>
        <v>133734.20000000001</v>
      </c>
      <c r="F164" s="51">
        <f t="shared" si="181"/>
        <v>108570</v>
      </c>
      <c r="G164" s="23">
        <f t="shared" si="195"/>
        <v>0.81183422041631825</v>
      </c>
      <c r="H164" s="25">
        <f t="shared" si="183"/>
        <v>103292.4</v>
      </c>
      <c r="I164" s="25">
        <f t="shared" si="184"/>
        <v>53077.2</v>
      </c>
      <c r="J164" s="23">
        <f t="shared" si="176"/>
        <v>0.51385387501887847</v>
      </c>
      <c r="K164" s="25">
        <f t="shared" si="185"/>
        <v>180000</v>
      </c>
      <c r="L164" s="25">
        <f t="shared" si="186"/>
        <v>0</v>
      </c>
      <c r="M164" s="23">
        <f t="shared" si="177"/>
        <v>0</v>
      </c>
    </row>
    <row r="165" spans="1:13" ht="12.75" customHeight="1" x14ac:dyDescent="0.3">
      <c r="A165" s="30" t="s">
        <v>60</v>
      </c>
      <c r="B165" s="25">
        <f>+SUM(C50,G50,K50)</f>
        <v>259803.3</v>
      </c>
      <c r="C165" s="51">
        <f t="shared" si="179"/>
        <v>238243.5</v>
      </c>
      <c r="D165" s="63">
        <f t="shared" si="175"/>
        <v>0.91701491089605103</v>
      </c>
      <c r="E165" s="25">
        <f>+SUM(O50,W51,S50)</f>
        <v>144354.79999999999</v>
      </c>
      <c r="F165" s="51">
        <f t="shared" si="181"/>
        <v>228891.2</v>
      </c>
      <c r="G165" s="63">
        <f t="shared" si="195"/>
        <v>1.5856154419527444</v>
      </c>
      <c r="H165" s="25">
        <f t="shared" si="183"/>
        <v>206856</v>
      </c>
      <c r="I165" s="25">
        <f t="shared" si="184"/>
        <v>162801</v>
      </c>
      <c r="J165" s="63">
        <f t="shared" si="176"/>
        <v>0.78702575704838151</v>
      </c>
      <c r="K165" s="25">
        <f t="shared" si="185"/>
        <v>300000</v>
      </c>
      <c r="L165" s="25">
        <f t="shared" si="186"/>
        <v>0</v>
      </c>
      <c r="M165" s="63">
        <f t="shared" si="177"/>
        <v>0</v>
      </c>
    </row>
    <row r="166" spans="1:13" ht="12.75" customHeight="1" thickBot="1" x14ac:dyDescent="0.35">
      <c r="A166" s="37" t="s">
        <v>61</v>
      </c>
      <c r="B166" s="25">
        <f>+SUM(C51,G51,K51)</f>
        <v>33441.9</v>
      </c>
      <c r="C166" s="51">
        <f t="shared" si="179"/>
        <v>61485.9</v>
      </c>
      <c r="D166" s="23">
        <f t="shared" si="175"/>
        <v>1.838588716550196</v>
      </c>
      <c r="E166" s="25" t="e">
        <f>+SUM(O51,#REF!,S51)</f>
        <v>#REF!</v>
      </c>
      <c r="F166" s="51">
        <f t="shared" si="181"/>
        <v>13038</v>
      </c>
      <c r="G166" s="23" t="str">
        <f t="shared" si="195"/>
        <v>----</v>
      </c>
      <c r="H166" s="25">
        <f t="shared" si="183"/>
        <v>101928</v>
      </c>
      <c r="I166" s="25">
        <f t="shared" si="184"/>
        <v>101928</v>
      </c>
      <c r="J166" s="23">
        <f t="shared" si="176"/>
        <v>1</v>
      </c>
      <c r="K166" s="25">
        <f t="shared" si="185"/>
        <v>0</v>
      </c>
      <c r="L166" s="25">
        <f t="shared" si="186"/>
        <v>0</v>
      </c>
      <c r="M166" s="23" t="str">
        <f t="shared" si="177"/>
        <v>----</v>
      </c>
    </row>
    <row r="167" spans="1:13" ht="12.75" customHeight="1" x14ac:dyDescent="0.3">
      <c r="A167" s="20" t="s">
        <v>62</v>
      </c>
      <c r="B167" s="25">
        <f t="shared" si="178"/>
        <v>106271</v>
      </c>
      <c r="C167" s="51">
        <f t="shared" si="179"/>
        <v>106271</v>
      </c>
      <c r="D167" s="63">
        <f t="shared" si="175"/>
        <v>1</v>
      </c>
      <c r="E167" s="25">
        <f t="shared" si="180"/>
        <v>102580.5</v>
      </c>
      <c r="F167" s="51">
        <f t="shared" si="181"/>
        <v>102580.5</v>
      </c>
      <c r="G167" s="63">
        <f t="shared" si="195"/>
        <v>1</v>
      </c>
      <c r="H167" s="25">
        <f t="shared" si="183"/>
        <v>173377.5</v>
      </c>
      <c r="I167" s="25">
        <f t="shared" si="184"/>
        <v>153175</v>
      </c>
      <c r="J167" s="63">
        <f t="shared" si="176"/>
        <v>0.88347680639067927</v>
      </c>
      <c r="K167" s="25">
        <f t="shared" si="185"/>
        <v>180000</v>
      </c>
      <c r="L167" s="25">
        <f t="shared" si="186"/>
        <v>0</v>
      </c>
      <c r="M167" s="63">
        <f t="shared" si="177"/>
        <v>0</v>
      </c>
    </row>
    <row r="168" spans="1:13" ht="12.75" customHeight="1" thickBot="1" x14ac:dyDescent="0.35">
      <c r="A168" s="20" t="s">
        <v>63</v>
      </c>
      <c r="B168" s="25">
        <f t="shared" si="178"/>
        <v>159718</v>
      </c>
      <c r="C168" s="51">
        <f t="shared" si="179"/>
        <v>159718</v>
      </c>
      <c r="D168" s="64">
        <f t="shared" si="175"/>
        <v>1</v>
      </c>
      <c r="E168" s="25">
        <f t="shared" si="180"/>
        <v>162870.5</v>
      </c>
      <c r="F168" s="51">
        <f t="shared" si="181"/>
        <v>162870.5</v>
      </c>
      <c r="G168" s="64">
        <f t="shared" si="195"/>
        <v>1</v>
      </c>
      <c r="H168" s="25">
        <f t="shared" si="183"/>
        <v>163481.5</v>
      </c>
      <c r="I168" s="25">
        <f t="shared" si="184"/>
        <v>163481.5</v>
      </c>
      <c r="J168" s="64">
        <f t="shared" si="176"/>
        <v>1</v>
      </c>
      <c r="K168" s="25">
        <f t="shared" si="185"/>
        <v>90000</v>
      </c>
      <c r="L168" s="25">
        <f t="shared" si="186"/>
        <v>0</v>
      </c>
      <c r="M168" s="64">
        <f t="shared" si="177"/>
        <v>0</v>
      </c>
    </row>
    <row r="169" spans="1:13" ht="12.75" customHeight="1" thickBot="1" x14ac:dyDescent="0.35">
      <c r="A169" s="37" t="s">
        <v>64</v>
      </c>
      <c r="B169" s="25">
        <f t="shared" si="178"/>
        <v>2393846.3600000003</v>
      </c>
      <c r="C169" s="51">
        <f t="shared" si="179"/>
        <v>2331609.4300000002</v>
      </c>
      <c r="D169" s="64">
        <f t="shared" si="175"/>
        <v>0.97400128469397673</v>
      </c>
      <c r="E169" s="25">
        <f t="shared" si="180"/>
        <v>2443306.69</v>
      </c>
      <c r="F169" s="51">
        <f t="shared" si="181"/>
        <v>2443306.6899999995</v>
      </c>
      <c r="G169" s="64">
        <f t="shared" si="195"/>
        <v>0.99999999999999978</v>
      </c>
      <c r="H169" s="25">
        <f t="shared" si="183"/>
        <v>3841730.3200000003</v>
      </c>
      <c r="I169" s="25">
        <f t="shared" si="184"/>
        <v>3664280.1900000004</v>
      </c>
      <c r="J169" s="64">
        <f t="shared" si="176"/>
        <v>0.95380984212343156</v>
      </c>
      <c r="K169" s="25">
        <f t="shared" si="185"/>
        <v>4500000</v>
      </c>
      <c r="L169" s="25">
        <f t="shared" si="186"/>
        <v>0</v>
      </c>
      <c r="M169" s="64">
        <f t="shared" si="177"/>
        <v>0</v>
      </c>
    </row>
    <row r="170" spans="1:13" ht="18.75" customHeight="1" thickBot="1" x14ac:dyDescent="0.35">
      <c r="A170" s="29" t="s">
        <v>65</v>
      </c>
      <c r="B170" s="25">
        <f t="shared" si="178"/>
        <v>522369.12999999989</v>
      </c>
      <c r="C170" s="51">
        <f>+SUM(D55,H55,L55)</f>
        <v>499162.78999999992</v>
      </c>
      <c r="D170" s="64">
        <f t="shared" si="175"/>
        <v>0.95557482502842395</v>
      </c>
      <c r="E170" s="25">
        <f t="shared" si="180"/>
        <v>524777.98</v>
      </c>
      <c r="F170" s="51">
        <f>+SUM(T55,X55,P55)</f>
        <v>459456.12</v>
      </c>
      <c r="G170" s="64">
        <f t="shared" si="195"/>
        <v>0.87552476954158787</v>
      </c>
      <c r="H170" s="25">
        <f t="shared" si="183"/>
        <v>576991.23</v>
      </c>
      <c r="I170" s="25">
        <f>+SUM(AD55,AL55,AH55)</f>
        <v>508115.83000000007</v>
      </c>
      <c r="J170" s="64">
        <f t="shared" si="176"/>
        <v>0.88063007474134414</v>
      </c>
      <c r="K170" s="25">
        <f t="shared" si="185"/>
        <v>900000</v>
      </c>
      <c r="L170" s="25">
        <f t="shared" si="186"/>
        <v>0</v>
      </c>
      <c r="M170" s="64">
        <f t="shared" si="177"/>
        <v>0</v>
      </c>
    </row>
    <row r="171" spans="1:13" ht="18.75" customHeight="1" thickBot="1" x14ac:dyDescent="0.35">
      <c r="A171" s="76" t="s">
        <v>88</v>
      </c>
      <c r="B171" s="25">
        <f t="shared" si="178"/>
        <v>140732.80000000002</v>
      </c>
      <c r="C171" s="51" t="e">
        <f>+SUM(#REF!,H56,L56)</f>
        <v>#REF!</v>
      </c>
      <c r="D171" s="64" t="str">
        <f t="shared" ref="D171" si="200">+IFERROR(C171/B171,"----")</f>
        <v>----</v>
      </c>
      <c r="E171" s="25">
        <f t="shared" si="180"/>
        <v>484433</v>
      </c>
      <c r="F171" s="51">
        <f>+SUM(T56,X56,P56)</f>
        <v>484433</v>
      </c>
      <c r="G171" s="64">
        <f t="shared" ref="G171" si="201">+IFERROR(F171/E171,"----")</f>
        <v>1</v>
      </c>
      <c r="H171" s="25">
        <f t="shared" si="183"/>
        <v>527130.9</v>
      </c>
      <c r="I171" s="25">
        <f>+SUM(AD56,AL56,AH56)</f>
        <v>468503.1</v>
      </c>
      <c r="J171" s="64">
        <f t="shared" ref="J171" si="202">+IFERROR(I171/H171,"----")</f>
        <v>0.88877942841142488</v>
      </c>
      <c r="K171" s="25">
        <f t="shared" si="185"/>
        <v>300000</v>
      </c>
      <c r="L171" s="25">
        <f t="shared" si="186"/>
        <v>0</v>
      </c>
      <c r="M171" s="64">
        <f t="shared" ref="M171" si="203">+IFERROR(L171/K171,"----")</f>
        <v>0</v>
      </c>
    </row>
    <row r="172" spans="1:13" ht="18.75" customHeight="1" thickBot="1" x14ac:dyDescent="0.35">
      <c r="A172" s="114" t="s">
        <v>93</v>
      </c>
      <c r="B172" s="25">
        <f t="shared" si="178"/>
        <v>648042.75</v>
      </c>
      <c r="C172" s="51">
        <f t="shared" si="179"/>
        <v>648042.75</v>
      </c>
      <c r="D172" s="64">
        <f t="shared" ref="D172" si="204">+IFERROR(C172/B172,"----")</f>
        <v>1</v>
      </c>
      <c r="E172" s="25">
        <f t="shared" si="180"/>
        <v>240568.30999999997</v>
      </c>
      <c r="F172" s="51">
        <f t="shared" si="181"/>
        <v>240568.30999999997</v>
      </c>
      <c r="G172" s="64">
        <f t="shared" ref="G172" si="205">+IFERROR(F172/E172,"----")</f>
        <v>1</v>
      </c>
      <c r="H172" s="25">
        <f t="shared" si="183"/>
        <v>0</v>
      </c>
      <c r="I172" s="25">
        <f t="shared" si="184"/>
        <v>0</v>
      </c>
      <c r="J172" s="64" t="str">
        <f t="shared" ref="J172" si="206">+IFERROR(I172/H172,"----")</f>
        <v>----</v>
      </c>
      <c r="K172" s="25">
        <f t="shared" si="185"/>
        <v>0</v>
      </c>
      <c r="L172" s="25">
        <f t="shared" si="186"/>
        <v>0</v>
      </c>
      <c r="M172" s="64" t="str">
        <f t="shared" ref="M172" si="207">+IFERROR(L172/K172,"----")</f>
        <v>----</v>
      </c>
    </row>
    <row r="173" spans="1:13" ht="12.75" customHeight="1" thickBot="1" x14ac:dyDescent="0.35">
      <c r="A173" s="39" t="s">
        <v>66</v>
      </c>
      <c r="B173" s="40">
        <f>+SUM(B120:B172)</f>
        <v>35853088.029999994</v>
      </c>
      <c r="C173" s="40" t="e">
        <f>+SUM(C120:C172)</f>
        <v>#REF!</v>
      </c>
      <c r="D173" s="65" t="str">
        <f t="shared" si="175"/>
        <v>----</v>
      </c>
      <c r="E173" s="40" t="e">
        <f>+SUM(E120:E172)</f>
        <v>#REF!</v>
      </c>
      <c r="F173" s="40" t="e">
        <f>+SUM(F120:F172)</f>
        <v>#REF!</v>
      </c>
      <c r="G173" s="65" t="str">
        <f t="shared" si="195"/>
        <v>----</v>
      </c>
      <c r="H173" s="40">
        <f>+SUM(H120:H172)</f>
        <v>47128786.086149998</v>
      </c>
      <c r="I173" s="40">
        <f>+SUM(I120:I172)</f>
        <v>40668136.596150003</v>
      </c>
      <c r="J173" s="65">
        <f t="shared" si="176"/>
        <v>0.86291500319592096</v>
      </c>
      <c r="K173" s="40">
        <f>+SUM(K120:K172)</f>
        <v>50040000</v>
      </c>
      <c r="L173" s="40">
        <f>+SUM(L120:L172)</f>
        <v>0</v>
      </c>
      <c r="M173" s="65">
        <f t="shared" si="177"/>
        <v>0</v>
      </c>
    </row>
    <row r="174" spans="1:13" ht="12.75" customHeight="1" thickBot="1" x14ac:dyDescent="0.35"/>
    <row r="175" spans="1:13" ht="12.75" customHeight="1" thickBot="1" x14ac:dyDescent="0.35">
      <c r="A175" s="152" t="s">
        <v>67</v>
      </c>
      <c r="B175" s="154" t="s">
        <v>71</v>
      </c>
      <c r="C175" s="155"/>
      <c r="D175" s="156"/>
      <c r="E175" s="154" t="s">
        <v>72</v>
      </c>
      <c r="F175" s="155"/>
      <c r="G175" s="156"/>
      <c r="H175" s="154" t="s">
        <v>73</v>
      </c>
      <c r="I175" s="155"/>
      <c r="J175" s="156"/>
      <c r="K175" s="154" t="s">
        <v>74</v>
      </c>
      <c r="L175" s="155"/>
      <c r="M175" s="156"/>
    </row>
    <row r="176" spans="1:13" ht="57" customHeight="1" thickBot="1" x14ac:dyDescent="0.35">
      <c r="A176" s="153"/>
      <c r="B176" s="6" t="s">
        <v>85</v>
      </c>
      <c r="C176" s="6" t="s">
        <v>101</v>
      </c>
      <c r="D176" s="47" t="s">
        <v>76</v>
      </c>
      <c r="E176" s="6" t="s">
        <v>85</v>
      </c>
      <c r="F176" s="6" t="s">
        <v>101</v>
      </c>
      <c r="G176" s="47" t="s">
        <v>76</v>
      </c>
      <c r="H176" s="6" t="s">
        <v>85</v>
      </c>
      <c r="I176" s="6" t="s">
        <v>101</v>
      </c>
      <c r="J176" s="47" t="s">
        <v>76</v>
      </c>
      <c r="K176" s="6" t="s">
        <v>85</v>
      </c>
      <c r="L176" s="6" t="s">
        <v>101</v>
      </c>
      <c r="M176" s="47" t="s">
        <v>76</v>
      </c>
    </row>
    <row r="177" spans="1:13" ht="12.75" customHeight="1" thickBot="1" x14ac:dyDescent="0.35">
      <c r="A177" s="10" t="s">
        <v>18</v>
      </c>
      <c r="B177" s="11"/>
      <c r="C177" s="12"/>
      <c r="D177" s="61"/>
      <c r="E177" s="11"/>
      <c r="F177" s="12"/>
      <c r="G177" s="61"/>
      <c r="H177" s="11"/>
      <c r="I177" s="12"/>
      <c r="J177" s="61"/>
      <c r="K177" s="11"/>
      <c r="L177" s="12"/>
      <c r="M177" s="61"/>
    </row>
    <row r="178" spans="1:13" ht="12.75" customHeight="1" x14ac:dyDescent="0.3">
      <c r="A178" s="19" t="s">
        <v>19</v>
      </c>
      <c r="B178" s="25">
        <f>+SUM(C63,G63,K63)</f>
        <v>4440000</v>
      </c>
      <c r="C178" s="51">
        <f>+SUM(D63,H63,L63)</f>
        <v>3187250</v>
      </c>
      <c r="D178" s="62">
        <f>+IFERROR(C178/B178,"----")</f>
        <v>0.71784909909909911</v>
      </c>
      <c r="E178" s="25">
        <f>+SUM(W63,S63,O63)</f>
        <v>2104000</v>
      </c>
      <c r="F178" s="51">
        <f>+SUM(X63,T63,P63)</f>
        <v>2784000</v>
      </c>
      <c r="G178" s="62">
        <f>+IFERROR(F178/E178,"----")</f>
        <v>1.3231939163498099</v>
      </c>
      <c r="H178" s="25">
        <f>+SUM(AG63,AC63,AK63)</f>
        <v>3088000</v>
      </c>
      <c r="I178" s="25">
        <f>+SUM(AH63,AD63,AL63)</f>
        <v>7753250</v>
      </c>
      <c r="J178" s="62">
        <f>+IFERROR(I178/H178,"----")</f>
        <v>2.5107674870466323</v>
      </c>
      <c r="K178" s="25">
        <f>+SUM(AS63,AW63,AO63)</f>
        <v>2396000</v>
      </c>
      <c r="L178" s="25">
        <f>+SUM(AT63,AX63,AP63)</f>
        <v>0</v>
      </c>
      <c r="M178" s="62">
        <f>+IFERROR(L178/K178,"----")</f>
        <v>0</v>
      </c>
    </row>
    <row r="179" spans="1:13" ht="12.75" customHeight="1" x14ac:dyDescent="0.3">
      <c r="A179" s="20" t="s">
        <v>20</v>
      </c>
      <c r="B179" s="25">
        <f t="shared" ref="B179:B229" si="208">+SUM(C64,G64,K64)</f>
        <v>0</v>
      </c>
      <c r="C179" s="51">
        <f t="shared" ref="C179:C229" si="209">+SUM(D64,H64,L64)</f>
        <v>0</v>
      </c>
      <c r="D179" s="63" t="str">
        <f t="shared" ref="D179:D198" si="210">+IFERROR(C179/B179,"----")</f>
        <v>----</v>
      </c>
      <c r="E179" s="25">
        <f t="shared" ref="E179:E229" si="211">+SUM(W64,S64,O64)</f>
        <v>0</v>
      </c>
      <c r="F179" s="51">
        <f t="shared" ref="F179:F229" si="212">+SUM(X64,T64,P64)</f>
        <v>0</v>
      </c>
      <c r="G179" s="63" t="str">
        <f t="shared" ref="G179:G198" si="213">+IFERROR(F179/E179,"----")</f>
        <v>----</v>
      </c>
      <c r="H179" s="25">
        <f t="shared" ref="H179:H229" si="214">+SUM(AG64,AC64,AK64)</f>
        <v>0</v>
      </c>
      <c r="I179" s="25">
        <f t="shared" ref="I179:I229" si="215">+SUM(AH64,AD64,AL64)</f>
        <v>0</v>
      </c>
      <c r="J179" s="63" t="str">
        <f t="shared" ref="J179:J198" si="216">+IFERROR(I179/H179,"----")</f>
        <v>----</v>
      </c>
      <c r="K179" s="25">
        <f t="shared" ref="K179:K229" si="217">+SUM(AS64,AW64,AO64)</f>
        <v>0</v>
      </c>
      <c r="L179" s="25">
        <f t="shared" ref="L179:L229" si="218">+SUM(AT64,AX64,AP64)</f>
        <v>0</v>
      </c>
      <c r="M179" s="63" t="str">
        <f t="shared" ref="M179:M198" si="219">+IFERROR(L179/K179,"----")</f>
        <v>----</v>
      </c>
    </row>
    <row r="180" spans="1:13" ht="12.75" customHeight="1" x14ac:dyDescent="0.3">
      <c r="A180" s="20" t="s">
        <v>21</v>
      </c>
      <c r="B180" s="25">
        <f t="shared" si="208"/>
        <v>0</v>
      </c>
      <c r="C180" s="51">
        <f t="shared" si="209"/>
        <v>0</v>
      </c>
      <c r="D180" s="23" t="str">
        <f t="shared" si="210"/>
        <v>----</v>
      </c>
      <c r="E180" s="25">
        <f t="shared" si="211"/>
        <v>0</v>
      </c>
      <c r="F180" s="51">
        <f t="shared" si="212"/>
        <v>0</v>
      </c>
      <c r="G180" s="23" t="str">
        <f t="shared" si="213"/>
        <v>----</v>
      </c>
      <c r="H180" s="25">
        <f t="shared" si="214"/>
        <v>0</v>
      </c>
      <c r="I180" s="25">
        <f t="shared" si="215"/>
        <v>0</v>
      </c>
      <c r="J180" s="23" t="str">
        <f t="shared" si="216"/>
        <v>----</v>
      </c>
      <c r="K180" s="25">
        <f t="shared" si="217"/>
        <v>0</v>
      </c>
      <c r="L180" s="25">
        <f t="shared" si="218"/>
        <v>0</v>
      </c>
      <c r="M180" s="23" t="str">
        <f t="shared" si="219"/>
        <v>----</v>
      </c>
    </row>
    <row r="181" spans="1:13" ht="12.75" customHeight="1" x14ac:dyDescent="0.3">
      <c r="A181" s="20" t="s">
        <v>22</v>
      </c>
      <c r="B181" s="25">
        <f t="shared" si="208"/>
        <v>893535</v>
      </c>
      <c r="C181" s="51">
        <f t="shared" si="209"/>
        <v>2340431.08</v>
      </c>
      <c r="D181" s="63">
        <f t="shared" si="210"/>
        <v>2.6192942414119202</v>
      </c>
      <c r="E181" s="25">
        <f t="shared" si="211"/>
        <v>2196000</v>
      </c>
      <c r="F181" s="51">
        <f t="shared" si="212"/>
        <v>4133499.2</v>
      </c>
      <c r="G181" s="63">
        <f t="shared" si="213"/>
        <v>1.8822856102003644</v>
      </c>
      <c r="H181" s="25">
        <f t="shared" si="214"/>
        <v>1226000</v>
      </c>
      <c r="I181" s="25">
        <f t="shared" si="215"/>
        <v>1908000</v>
      </c>
      <c r="J181" s="63">
        <f t="shared" si="216"/>
        <v>1.5562805872756933</v>
      </c>
      <c r="K181" s="25">
        <f t="shared" si="217"/>
        <v>2904126.8</v>
      </c>
      <c r="L181" s="25">
        <f t="shared" si="218"/>
        <v>0</v>
      </c>
      <c r="M181" s="63">
        <f t="shared" si="219"/>
        <v>0</v>
      </c>
    </row>
    <row r="182" spans="1:13" ht="12.75" customHeight="1" x14ac:dyDescent="0.3">
      <c r="A182" s="20" t="s">
        <v>23</v>
      </c>
      <c r="B182" s="25">
        <f t="shared" si="208"/>
        <v>629556.5</v>
      </c>
      <c r="C182" s="51">
        <f t="shared" si="209"/>
        <v>562620.6</v>
      </c>
      <c r="D182" s="23">
        <f t="shared" si="210"/>
        <v>0.89367769215312676</v>
      </c>
      <c r="E182" s="25">
        <f t="shared" si="211"/>
        <v>651403.1</v>
      </c>
      <c r="F182" s="51">
        <f t="shared" si="212"/>
        <v>615954.6</v>
      </c>
      <c r="G182" s="23">
        <f t="shared" si="213"/>
        <v>0.94558131516414334</v>
      </c>
      <c r="H182" s="25">
        <f t="shared" si="214"/>
        <v>613088.9</v>
      </c>
      <c r="I182" s="25">
        <f t="shared" si="215"/>
        <v>639373.69999999995</v>
      </c>
      <c r="J182" s="23">
        <f t="shared" si="216"/>
        <v>1.0428727383581728</v>
      </c>
      <c r="K182" s="25">
        <f t="shared" si="217"/>
        <v>629771.15</v>
      </c>
      <c r="L182" s="25">
        <f t="shared" si="218"/>
        <v>0</v>
      </c>
      <c r="M182" s="23">
        <f t="shared" si="219"/>
        <v>0</v>
      </c>
    </row>
    <row r="183" spans="1:13" ht="12.75" customHeight="1" thickBot="1" x14ac:dyDescent="0.35">
      <c r="A183" s="20" t="s">
        <v>24</v>
      </c>
      <c r="B183" s="25">
        <f t="shared" si="208"/>
        <v>60824.7</v>
      </c>
      <c r="C183" s="51">
        <f t="shared" si="209"/>
        <v>193834.2</v>
      </c>
      <c r="D183" s="23">
        <f t="shared" si="210"/>
        <v>3.186767875550558</v>
      </c>
      <c r="E183" s="25">
        <f t="shared" si="211"/>
        <v>170931.60000000003</v>
      </c>
      <c r="F183" s="51">
        <f t="shared" si="212"/>
        <v>237085.8</v>
      </c>
      <c r="G183" s="23">
        <f t="shared" si="213"/>
        <v>1.3870214752567691</v>
      </c>
      <c r="H183" s="25">
        <f t="shared" si="214"/>
        <v>189433.8</v>
      </c>
      <c r="I183" s="25">
        <f t="shared" si="215"/>
        <v>118303.5</v>
      </c>
      <c r="J183" s="23">
        <f t="shared" si="216"/>
        <v>0.62451104290786552</v>
      </c>
      <c r="K183" s="25">
        <f t="shared" si="217"/>
        <v>182582.40000000002</v>
      </c>
      <c r="L183" s="25">
        <f t="shared" si="218"/>
        <v>0</v>
      </c>
      <c r="M183" s="23">
        <f t="shared" si="219"/>
        <v>0</v>
      </c>
    </row>
    <row r="184" spans="1:13" ht="12.75" customHeight="1" x14ac:dyDescent="0.3">
      <c r="A184" s="19" t="s">
        <v>25</v>
      </c>
      <c r="B184" s="25">
        <f t="shared" si="208"/>
        <v>125827.9</v>
      </c>
      <c r="C184" s="51">
        <f t="shared" si="209"/>
        <v>54358.7</v>
      </c>
      <c r="D184" s="63">
        <f t="shared" si="210"/>
        <v>0.43200832247856003</v>
      </c>
      <c r="E184" s="25">
        <f t="shared" si="211"/>
        <v>207484.5</v>
      </c>
      <c r="F184" s="51">
        <f t="shared" si="212"/>
        <v>57485</v>
      </c>
      <c r="G184" s="63">
        <f t="shared" si="213"/>
        <v>0.277056840390487</v>
      </c>
      <c r="H184" s="25">
        <f t="shared" si="214"/>
        <v>134714.1</v>
      </c>
      <c r="I184" s="25">
        <f t="shared" si="215"/>
        <v>31845</v>
      </c>
      <c r="J184" s="63">
        <f t="shared" si="216"/>
        <v>0.23638950933866609</v>
      </c>
      <c r="K184" s="25">
        <f t="shared" si="217"/>
        <v>200004.5</v>
      </c>
      <c r="L184" s="25">
        <f t="shared" si="218"/>
        <v>0</v>
      </c>
      <c r="M184" s="63">
        <f t="shared" si="219"/>
        <v>0</v>
      </c>
    </row>
    <row r="185" spans="1:13" ht="12.75" customHeight="1" x14ac:dyDescent="0.3">
      <c r="A185" s="20" t="s">
        <v>26</v>
      </c>
      <c r="B185" s="25">
        <f t="shared" si="208"/>
        <v>250981.5</v>
      </c>
      <c r="C185" s="51">
        <f t="shared" si="209"/>
        <v>314314</v>
      </c>
      <c r="D185" s="23">
        <f t="shared" si="210"/>
        <v>1.2523393158459886</v>
      </c>
      <c r="E185" s="25">
        <f t="shared" si="211"/>
        <v>267223</v>
      </c>
      <c r="F185" s="51">
        <f t="shared" si="212"/>
        <v>254380.5</v>
      </c>
      <c r="G185" s="23">
        <f t="shared" si="213"/>
        <v>0.95194088832173873</v>
      </c>
      <c r="H185" s="25">
        <f t="shared" si="214"/>
        <v>391677</v>
      </c>
      <c r="I185" s="25">
        <f t="shared" si="215"/>
        <v>254204.5</v>
      </c>
      <c r="J185" s="23">
        <f t="shared" si="216"/>
        <v>0.64901564299154657</v>
      </c>
      <c r="K185" s="25">
        <f t="shared" si="217"/>
        <v>259759.5</v>
      </c>
      <c r="L185" s="25">
        <f t="shared" si="218"/>
        <v>0</v>
      </c>
      <c r="M185" s="23">
        <f t="shared" si="219"/>
        <v>0</v>
      </c>
    </row>
    <row r="186" spans="1:13" ht="12.75" customHeight="1" x14ac:dyDescent="0.3">
      <c r="A186" s="20" t="s">
        <v>27</v>
      </c>
      <c r="B186" s="25">
        <f t="shared" si="208"/>
        <v>240936</v>
      </c>
      <c r="C186" s="51">
        <f t="shared" si="209"/>
        <v>203528</v>
      </c>
      <c r="D186" s="23">
        <f t="shared" si="210"/>
        <v>0.8447388518112694</v>
      </c>
      <c r="E186" s="25">
        <f t="shared" si="211"/>
        <v>291524</v>
      </c>
      <c r="F186" s="51">
        <f t="shared" si="212"/>
        <v>72520.5</v>
      </c>
      <c r="G186" s="23">
        <f t="shared" si="213"/>
        <v>0.24876339512355758</v>
      </c>
      <c r="H186" s="25">
        <f t="shared" si="214"/>
        <v>200518.5</v>
      </c>
      <c r="I186" s="25">
        <f t="shared" si="215"/>
        <v>136955</v>
      </c>
      <c r="J186" s="23">
        <f t="shared" si="216"/>
        <v>0.68300431132289541</v>
      </c>
      <c r="K186" s="25">
        <f t="shared" si="217"/>
        <v>274631.5</v>
      </c>
      <c r="L186" s="25">
        <f t="shared" si="218"/>
        <v>0</v>
      </c>
      <c r="M186" s="23">
        <f t="shared" si="219"/>
        <v>0</v>
      </c>
    </row>
    <row r="187" spans="1:13" ht="12.75" customHeight="1" x14ac:dyDescent="0.3">
      <c r="A187" s="20" t="s">
        <v>28</v>
      </c>
      <c r="B187" s="25">
        <f t="shared" si="208"/>
        <v>0</v>
      </c>
      <c r="C187" s="51">
        <f t="shared" si="209"/>
        <v>0</v>
      </c>
      <c r="D187" s="23" t="str">
        <f t="shared" si="210"/>
        <v>----</v>
      </c>
      <c r="E187" s="25">
        <f t="shared" si="211"/>
        <v>0</v>
      </c>
      <c r="F187" s="51">
        <f t="shared" si="212"/>
        <v>0</v>
      </c>
      <c r="G187" s="23" t="str">
        <f t="shared" si="213"/>
        <v>----</v>
      </c>
      <c r="H187" s="25">
        <f t="shared" si="214"/>
        <v>0</v>
      </c>
      <c r="I187" s="25">
        <f t="shared" si="215"/>
        <v>0</v>
      </c>
      <c r="J187" s="23" t="str">
        <f t="shared" si="216"/>
        <v>----</v>
      </c>
      <c r="K187" s="25">
        <f t="shared" si="217"/>
        <v>0</v>
      </c>
      <c r="L187" s="25">
        <f t="shared" si="218"/>
        <v>0</v>
      </c>
      <c r="M187" s="23" t="str">
        <f t="shared" si="219"/>
        <v>----</v>
      </c>
    </row>
    <row r="188" spans="1:13" ht="12.75" customHeight="1" x14ac:dyDescent="0.3">
      <c r="A188" s="20" t="s">
        <v>29</v>
      </c>
      <c r="B188" s="25">
        <f t="shared" si="208"/>
        <v>0</v>
      </c>
      <c r="C188" s="51">
        <f t="shared" si="209"/>
        <v>0</v>
      </c>
      <c r="D188" s="63" t="str">
        <f t="shared" si="210"/>
        <v>----</v>
      </c>
      <c r="E188" s="25">
        <f t="shared" si="211"/>
        <v>0</v>
      </c>
      <c r="F188" s="51">
        <f t="shared" si="212"/>
        <v>0</v>
      </c>
      <c r="G188" s="63" t="str">
        <f t="shared" si="213"/>
        <v>----</v>
      </c>
      <c r="H188" s="25">
        <f t="shared" si="214"/>
        <v>0</v>
      </c>
      <c r="I188" s="25">
        <f t="shared" si="215"/>
        <v>0</v>
      </c>
      <c r="J188" s="63" t="str">
        <f t="shared" si="216"/>
        <v>----</v>
      </c>
      <c r="K188" s="25">
        <f t="shared" si="217"/>
        <v>0</v>
      </c>
      <c r="L188" s="25">
        <f t="shared" si="218"/>
        <v>0</v>
      </c>
      <c r="M188" s="63" t="str">
        <f t="shared" si="219"/>
        <v>----</v>
      </c>
    </row>
    <row r="189" spans="1:13" ht="12.75" customHeight="1" x14ac:dyDescent="0.3">
      <c r="A189" s="20" t="s">
        <v>30</v>
      </c>
      <c r="B189" s="25">
        <f t="shared" si="208"/>
        <v>283626.5</v>
      </c>
      <c r="C189" s="51">
        <f t="shared" si="209"/>
        <v>198710.59999999998</v>
      </c>
      <c r="D189" s="23">
        <f t="shared" si="210"/>
        <v>0.70060660763363081</v>
      </c>
      <c r="E189" s="25">
        <f t="shared" si="211"/>
        <v>168159.3</v>
      </c>
      <c r="F189" s="51">
        <f t="shared" si="212"/>
        <v>270121.90000000002</v>
      </c>
      <c r="G189" s="23">
        <f t="shared" si="213"/>
        <v>1.6063452928265047</v>
      </c>
      <c r="H189" s="25">
        <f t="shared" si="214"/>
        <v>153562</v>
      </c>
      <c r="I189" s="25">
        <f t="shared" si="215"/>
        <v>291695</v>
      </c>
      <c r="J189" s="23">
        <f t="shared" si="216"/>
        <v>1.8995259243823341</v>
      </c>
      <c r="K189" s="25">
        <f t="shared" si="217"/>
        <v>141827.20000000001</v>
      </c>
      <c r="L189" s="25">
        <f t="shared" si="218"/>
        <v>0</v>
      </c>
      <c r="M189" s="23">
        <f t="shared" si="219"/>
        <v>0</v>
      </c>
    </row>
    <row r="190" spans="1:13" ht="12.75" customHeight="1" x14ac:dyDescent="0.3">
      <c r="A190" s="20" t="s">
        <v>31</v>
      </c>
      <c r="B190" s="25">
        <f t="shared" si="208"/>
        <v>0</v>
      </c>
      <c r="C190" s="51">
        <f t="shared" si="209"/>
        <v>0</v>
      </c>
      <c r="D190" s="23" t="str">
        <f t="shared" ref="D190:D191" si="220">+IFERROR(C190/B190,"----")</f>
        <v>----</v>
      </c>
      <c r="E190" s="25">
        <f t="shared" si="211"/>
        <v>0</v>
      </c>
      <c r="F190" s="51">
        <f t="shared" si="212"/>
        <v>0</v>
      </c>
      <c r="G190" s="23" t="str">
        <f t="shared" ref="G190:G191" si="221">+IFERROR(F190/E190,"----")</f>
        <v>----</v>
      </c>
      <c r="H190" s="25">
        <f t="shared" si="214"/>
        <v>0</v>
      </c>
      <c r="I190" s="25">
        <f t="shared" si="215"/>
        <v>0</v>
      </c>
      <c r="J190" s="23" t="str">
        <f t="shared" ref="J190:J191" si="222">+IFERROR(I190/H190,"----")</f>
        <v>----</v>
      </c>
      <c r="K190" s="25">
        <f t="shared" si="217"/>
        <v>0</v>
      </c>
      <c r="L190" s="25">
        <f t="shared" si="218"/>
        <v>0</v>
      </c>
      <c r="M190" s="23" t="str">
        <f t="shared" ref="M190:M191" si="223">+IFERROR(L190/K190,"----")</f>
        <v>----</v>
      </c>
    </row>
    <row r="191" spans="1:13" ht="12.75" customHeight="1" x14ac:dyDescent="0.3">
      <c r="A191" s="20" t="s">
        <v>90</v>
      </c>
      <c r="B191" s="25">
        <f t="shared" si="208"/>
        <v>6013.5</v>
      </c>
      <c r="C191" s="51">
        <f t="shared" si="209"/>
        <v>174600</v>
      </c>
      <c r="D191" s="23">
        <f t="shared" si="220"/>
        <v>29.03467198802694</v>
      </c>
      <c r="E191" s="25">
        <f t="shared" si="211"/>
        <v>104649.59999999999</v>
      </c>
      <c r="F191" s="51">
        <f t="shared" si="212"/>
        <v>865980</v>
      </c>
      <c r="G191" s="23">
        <f t="shared" si="221"/>
        <v>8.2750435739840391</v>
      </c>
      <c r="H191" s="25">
        <f t="shared" si="214"/>
        <v>546417.29999999993</v>
      </c>
      <c r="I191" s="25">
        <f t="shared" si="215"/>
        <v>174000</v>
      </c>
      <c r="J191" s="23">
        <f t="shared" si="222"/>
        <v>0.31843794111204021</v>
      </c>
      <c r="K191" s="25">
        <f t="shared" si="217"/>
        <v>684600</v>
      </c>
      <c r="L191" s="25">
        <f t="shared" si="218"/>
        <v>0</v>
      </c>
      <c r="M191" s="23">
        <f t="shared" si="223"/>
        <v>0</v>
      </c>
    </row>
    <row r="192" spans="1:13" ht="12.75" customHeight="1" x14ac:dyDescent="0.3">
      <c r="A192" s="20" t="s">
        <v>91</v>
      </c>
      <c r="B192" s="25">
        <f t="shared" si="208"/>
        <v>652776.79999999993</v>
      </c>
      <c r="C192" s="51">
        <f t="shared" si="209"/>
        <v>1030703.7</v>
      </c>
      <c r="D192" s="23">
        <f t="shared" si="210"/>
        <v>1.5789527140057675</v>
      </c>
      <c r="E192" s="25">
        <f t="shared" si="211"/>
        <v>1064893</v>
      </c>
      <c r="F192" s="51">
        <f t="shared" si="212"/>
        <v>1185959.8999999999</v>
      </c>
      <c r="G192" s="23">
        <f t="shared" si="213"/>
        <v>1.1136892626770951</v>
      </c>
      <c r="H192" s="25">
        <f t="shared" si="214"/>
        <v>1058864.45</v>
      </c>
      <c r="I192" s="25">
        <f t="shared" si="215"/>
        <v>1156482</v>
      </c>
      <c r="J192" s="23">
        <f t="shared" si="216"/>
        <v>1.0921907898598353</v>
      </c>
      <c r="K192" s="25">
        <f t="shared" si="217"/>
        <v>1281371.3999999999</v>
      </c>
      <c r="L192" s="25">
        <f t="shared" si="218"/>
        <v>0</v>
      </c>
      <c r="M192" s="23">
        <f t="shared" si="219"/>
        <v>0</v>
      </c>
    </row>
    <row r="193" spans="1:13" ht="12.75" customHeight="1" x14ac:dyDescent="0.3">
      <c r="A193" s="30" t="s">
        <v>94</v>
      </c>
      <c r="B193" s="25">
        <f t="shared" si="208"/>
        <v>0</v>
      </c>
      <c r="C193" s="51">
        <f t="shared" si="209"/>
        <v>677243</v>
      </c>
      <c r="D193" s="23" t="str">
        <f t="shared" si="210"/>
        <v>----</v>
      </c>
      <c r="E193" s="25">
        <f t="shared" si="211"/>
        <v>0</v>
      </c>
      <c r="F193" s="51">
        <f t="shared" si="212"/>
        <v>606928.4</v>
      </c>
      <c r="G193" s="23" t="str">
        <f t="shared" si="213"/>
        <v>----</v>
      </c>
      <c r="H193" s="25">
        <f t="shared" si="214"/>
        <v>0</v>
      </c>
      <c r="I193" s="25">
        <f t="shared" si="215"/>
        <v>653167.5</v>
      </c>
      <c r="J193" s="23" t="str">
        <f t="shared" si="216"/>
        <v>----</v>
      </c>
      <c r="K193" s="25">
        <f t="shared" si="217"/>
        <v>0</v>
      </c>
      <c r="L193" s="25">
        <f t="shared" si="218"/>
        <v>0</v>
      </c>
      <c r="M193" s="23" t="str">
        <f t="shared" si="219"/>
        <v>----</v>
      </c>
    </row>
    <row r="194" spans="1:13" ht="12.75" customHeight="1" thickBot="1" x14ac:dyDescent="0.35">
      <c r="A194" s="28" t="s">
        <v>32</v>
      </c>
      <c r="B194" s="25">
        <f t="shared" si="208"/>
        <v>136612.6</v>
      </c>
      <c r="C194" s="51">
        <f t="shared" si="209"/>
        <v>106740</v>
      </c>
      <c r="D194" s="33">
        <f t="shared" si="210"/>
        <v>0.78133349339665592</v>
      </c>
      <c r="E194" s="25">
        <f t="shared" si="211"/>
        <v>187339.2</v>
      </c>
      <c r="F194" s="51">
        <f t="shared" si="212"/>
        <v>101340.6</v>
      </c>
      <c r="G194" s="33">
        <f t="shared" si="213"/>
        <v>0.54094711624689329</v>
      </c>
      <c r="H194" s="25">
        <f t="shared" si="214"/>
        <v>297723.59999999998</v>
      </c>
      <c r="I194" s="25">
        <f t="shared" si="215"/>
        <v>2984781.3</v>
      </c>
      <c r="J194" s="33">
        <f t="shared" si="216"/>
        <v>10.025343304998328</v>
      </c>
      <c r="K194" s="25">
        <f t="shared" si="217"/>
        <v>797465.1</v>
      </c>
      <c r="L194" s="25">
        <f t="shared" si="218"/>
        <v>0</v>
      </c>
      <c r="M194" s="33">
        <f t="shared" si="219"/>
        <v>0</v>
      </c>
    </row>
    <row r="195" spans="1:13" ht="12.75" customHeight="1" x14ac:dyDescent="0.3">
      <c r="A195" s="29" t="s">
        <v>33</v>
      </c>
      <c r="B195" s="25">
        <f t="shared" si="208"/>
        <v>0</v>
      </c>
      <c r="C195" s="51">
        <f t="shared" si="209"/>
        <v>0</v>
      </c>
      <c r="D195" s="61" t="str">
        <f t="shared" si="210"/>
        <v>----</v>
      </c>
      <c r="E195" s="25">
        <f t="shared" si="211"/>
        <v>0</v>
      </c>
      <c r="F195" s="51">
        <f t="shared" si="212"/>
        <v>0</v>
      </c>
      <c r="G195" s="61" t="str">
        <f t="shared" si="213"/>
        <v>----</v>
      </c>
      <c r="H195" s="25">
        <f t="shared" si="214"/>
        <v>0</v>
      </c>
      <c r="I195" s="25">
        <f t="shared" si="215"/>
        <v>0</v>
      </c>
      <c r="J195" s="61" t="str">
        <f t="shared" si="216"/>
        <v>----</v>
      </c>
      <c r="K195" s="25">
        <f t="shared" si="217"/>
        <v>0</v>
      </c>
      <c r="L195" s="25">
        <f t="shared" si="218"/>
        <v>0</v>
      </c>
      <c r="M195" s="61" t="str">
        <f t="shared" si="219"/>
        <v>----</v>
      </c>
    </row>
    <row r="196" spans="1:13" ht="12.75" customHeight="1" x14ac:dyDescent="0.3">
      <c r="A196" s="30" t="s">
        <v>34</v>
      </c>
      <c r="B196" s="25">
        <f t="shared" si="208"/>
        <v>1758497</v>
      </c>
      <c r="C196" s="51">
        <f t="shared" si="209"/>
        <v>2055299</v>
      </c>
      <c r="D196" s="62">
        <f t="shared" si="210"/>
        <v>1.1687816356809253</v>
      </c>
      <c r="E196" s="25">
        <f t="shared" si="211"/>
        <v>1731536</v>
      </c>
      <c r="F196" s="51">
        <f t="shared" si="212"/>
        <v>1859889</v>
      </c>
      <c r="G196" s="62">
        <f t="shared" si="213"/>
        <v>1.0741266713484443</v>
      </c>
      <c r="H196" s="25">
        <f t="shared" si="214"/>
        <v>1967413</v>
      </c>
      <c r="I196" s="25">
        <f t="shared" si="215"/>
        <v>1621106</v>
      </c>
      <c r="J196" s="62">
        <f t="shared" si="216"/>
        <v>0.82397849358523101</v>
      </c>
      <c r="K196" s="25">
        <f t="shared" si="217"/>
        <v>2131683</v>
      </c>
      <c r="L196" s="25">
        <f t="shared" si="218"/>
        <v>0</v>
      </c>
      <c r="M196" s="62">
        <f t="shared" si="219"/>
        <v>0</v>
      </c>
    </row>
    <row r="197" spans="1:13" ht="12.75" customHeight="1" x14ac:dyDescent="0.3">
      <c r="A197" s="20" t="s">
        <v>35</v>
      </c>
      <c r="B197" s="25">
        <f t="shared" si="208"/>
        <v>0</v>
      </c>
      <c r="C197" s="51">
        <f t="shared" si="209"/>
        <v>14851.05</v>
      </c>
      <c r="D197" s="63" t="str">
        <f t="shared" si="210"/>
        <v>----</v>
      </c>
      <c r="E197" s="25">
        <f t="shared" si="211"/>
        <v>0</v>
      </c>
      <c r="F197" s="51">
        <f t="shared" si="212"/>
        <v>603.45000000000005</v>
      </c>
      <c r="G197" s="63" t="str">
        <f t="shared" si="213"/>
        <v>----</v>
      </c>
      <c r="H197" s="25">
        <f t="shared" si="214"/>
        <v>0</v>
      </c>
      <c r="I197" s="25">
        <f t="shared" si="215"/>
        <v>0</v>
      </c>
      <c r="J197" s="63" t="str">
        <f t="shared" si="216"/>
        <v>----</v>
      </c>
      <c r="K197" s="25">
        <f t="shared" si="217"/>
        <v>11895</v>
      </c>
      <c r="L197" s="25">
        <f t="shared" si="218"/>
        <v>0</v>
      </c>
      <c r="M197" s="63">
        <f t="shared" si="219"/>
        <v>0</v>
      </c>
    </row>
    <row r="198" spans="1:13" ht="12.75" customHeight="1" x14ac:dyDescent="0.3">
      <c r="A198" s="20" t="s">
        <v>36</v>
      </c>
      <c r="B198" s="25">
        <f t="shared" si="208"/>
        <v>8122635.3245409997</v>
      </c>
      <c r="C198" s="51">
        <f t="shared" si="209"/>
        <v>8466596.2300000004</v>
      </c>
      <c r="D198" s="23">
        <f t="shared" si="210"/>
        <v>1.0423459741470589</v>
      </c>
      <c r="E198" s="25">
        <f t="shared" si="211"/>
        <v>4501067.0005119983</v>
      </c>
      <c r="F198" s="51">
        <f t="shared" si="212"/>
        <v>5168089.4503000006</v>
      </c>
      <c r="G198" s="23">
        <f t="shared" si="213"/>
        <v>1.1481920730600386</v>
      </c>
      <c r="H198" s="25">
        <f t="shared" si="214"/>
        <v>6232339.6424000002</v>
      </c>
      <c r="I198" s="25">
        <f t="shared" si="215"/>
        <v>7188751.1761500007</v>
      </c>
      <c r="J198" s="23">
        <f t="shared" si="216"/>
        <v>1.1534594692566686</v>
      </c>
      <c r="K198" s="25">
        <f t="shared" si="217"/>
        <v>7124917.5233999994</v>
      </c>
      <c r="L198" s="25">
        <f t="shared" si="218"/>
        <v>0</v>
      </c>
      <c r="M198" s="23">
        <f t="shared" si="219"/>
        <v>0</v>
      </c>
    </row>
    <row r="199" spans="1:13" ht="12.75" customHeight="1" x14ac:dyDescent="0.3">
      <c r="A199" s="20" t="s">
        <v>37</v>
      </c>
      <c r="B199" s="25">
        <f t="shared" si="208"/>
        <v>347590.79</v>
      </c>
      <c r="C199" s="51">
        <f t="shared" si="209"/>
        <v>295784.28999999992</v>
      </c>
      <c r="D199" s="62">
        <f>+IFERROR(C199/B199,"----")</f>
        <v>0.85095548705418789</v>
      </c>
      <c r="E199" s="25">
        <f t="shared" si="211"/>
        <v>295715.74</v>
      </c>
      <c r="F199" s="51">
        <f t="shared" si="212"/>
        <v>152683.87</v>
      </c>
      <c r="G199" s="62">
        <f>+IFERROR(F199/E199,"----")</f>
        <v>0.51631972650491986</v>
      </c>
      <c r="H199" s="25">
        <f t="shared" si="214"/>
        <v>220656.87</v>
      </c>
      <c r="I199" s="25">
        <f t="shared" si="215"/>
        <v>180416.02000000002</v>
      </c>
      <c r="J199" s="62">
        <f>+IFERROR(I199/H199,"----")</f>
        <v>0.81763155618041727</v>
      </c>
      <c r="K199" s="25">
        <f t="shared" si="217"/>
        <v>224569.98999999993</v>
      </c>
      <c r="L199" s="25">
        <f t="shared" si="218"/>
        <v>0</v>
      </c>
      <c r="M199" s="62">
        <f>+IFERROR(L199/K199,"----")</f>
        <v>0</v>
      </c>
    </row>
    <row r="200" spans="1:13" ht="12.75" customHeight="1" x14ac:dyDescent="0.3">
      <c r="A200" s="20" t="s">
        <v>38</v>
      </c>
      <c r="B200" s="25">
        <f t="shared" si="208"/>
        <v>0</v>
      </c>
      <c r="C200" s="51">
        <f t="shared" si="209"/>
        <v>0</v>
      </c>
      <c r="D200" s="63" t="str">
        <f t="shared" ref="D200:D230" si="224">+IFERROR(C200/B200,"----")</f>
        <v>----</v>
      </c>
      <c r="E200" s="25">
        <f t="shared" si="211"/>
        <v>578005</v>
      </c>
      <c r="F200" s="51">
        <f t="shared" si="212"/>
        <v>0</v>
      </c>
      <c r="G200" s="63">
        <f t="shared" ref="G200:G230" si="225">+IFERROR(F200/E200,"----")</f>
        <v>0</v>
      </c>
      <c r="H200" s="25">
        <f t="shared" si="214"/>
        <v>0</v>
      </c>
      <c r="I200" s="25">
        <f t="shared" si="215"/>
        <v>0</v>
      </c>
      <c r="J200" s="63" t="str">
        <f t="shared" ref="J200:J230" si="226">+IFERROR(I200/H200,"----")</f>
        <v>----</v>
      </c>
      <c r="K200" s="25">
        <f t="shared" si="217"/>
        <v>0</v>
      </c>
      <c r="L200" s="25">
        <f t="shared" si="218"/>
        <v>0</v>
      </c>
      <c r="M200" s="63" t="str">
        <f t="shared" ref="M200:M230" si="227">+IFERROR(L200/K200,"----")</f>
        <v>----</v>
      </c>
    </row>
    <row r="201" spans="1:13" ht="12.75" customHeight="1" x14ac:dyDescent="0.3">
      <c r="A201" s="20" t="s">
        <v>39</v>
      </c>
      <c r="B201" s="25">
        <f t="shared" si="208"/>
        <v>0</v>
      </c>
      <c r="C201" s="51">
        <f t="shared" si="209"/>
        <v>0</v>
      </c>
      <c r="D201" s="23" t="str">
        <f t="shared" si="224"/>
        <v>----</v>
      </c>
      <c r="E201" s="25">
        <f t="shared" si="211"/>
        <v>0</v>
      </c>
      <c r="F201" s="51">
        <f t="shared" si="212"/>
        <v>0</v>
      </c>
      <c r="G201" s="23" t="str">
        <f t="shared" si="225"/>
        <v>----</v>
      </c>
      <c r="H201" s="25">
        <f t="shared" si="214"/>
        <v>0</v>
      </c>
      <c r="I201" s="25">
        <f t="shared" si="215"/>
        <v>0</v>
      </c>
      <c r="J201" s="23" t="str">
        <f t="shared" si="226"/>
        <v>----</v>
      </c>
      <c r="K201" s="25">
        <f t="shared" si="217"/>
        <v>0</v>
      </c>
      <c r="L201" s="25">
        <f t="shared" si="218"/>
        <v>0</v>
      </c>
      <c r="M201" s="23" t="str">
        <f t="shared" si="227"/>
        <v>----</v>
      </c>
    </row>
    <row r="202" spans="1:13" ht="12.75" customHeight="1" x14ac:dyDescent="0.3">
      <c r="A202" s="20" t="s">
        <v>40</v>
      </c>
      <c r="B202" s="25">
        <f t="shared" si="208"/>
        <v>15355</v>
      </c>
      <c r="C202" s="51">
        <f t="shared" si="209"/>
        <v>38567.619999999995</v>
      </c>
      <c r="D202" s="63">
        <f t="shared" si="224"/>
        <v>2.5117303809833929</v>
      </c>
      <c r="E202" s="25">
        <f t="shared" si="211"/>
        <v>5043</v>
      </c>
      <c r="F202" s="51">
        <f t="shared" si="212"/>
        <v>24366</v>
      </c>
      <c r="G202" s="63">
        <f t="shared" si="225"/>
        <v>4.8316478286734084</v>
      </c>
      <c r="H202" s="25">
        <f t="shared" si="214"/>
        <v>10046</v>
      </c>
      <c r="I202" s="25">
        <f t="shared" si="215"/>
        <v>45348</v>
      </c>
      <c r="J202" s="63">
        <f t="shared" si="226"/>
        <v>4.5140354369898468</v>
      </c>
      <c r="K202" s="25">
        <f t="shared" si="217"/>
        <v>29844.46</v>
      </c>
      <c r="L202" s="25">
        <f t="shared" si="218"/>
        <v>0</v>
      </c>
      <c r="M202" s="63">
        <f t="shared" si="227"/>
        <v>0</v>
      </c>
    </row>
    <row r="203" spans="1:13" ht="12.75" customHeight="1" x14ac:dyDescent="0.3">
      <c r="A203" s="29" t="s">
        <v>41</v>
      </c>
      <c r="B203" s="25">
        <f t="shared" si="208"/>
        <v>0</v>
      </c>
      <c r="C203" s="51">
        <f t="shared" si="209"/>
        <v>0</v>
      </c>
      <c r="D203" s="23" t="str">
        <f t="shared" si="224"/>
        <v>----</v>
      </c>
      <c r="E203" s="25">
        <f t="shared" si="211"/>
        <v>0</v>
      </c>
      <c r="F203" s="51">
        <f t="shared" si="212"/>
        <v>0</v>
      </c>
      <c r="G203" s="23" t="str">
        <f t="shared" si="225"/>
        <v>----</v>
      </c>
      <c r="H203" s="25">
        <f t="shared" si="214"/>
        <v>0</v>
      </c>
      <c r="I203" s="25">
        <f t="shared" si="215"/>
        <v>0</v>
      </c>
      <c r="J203" s="23" t="str">
        <f t="shared" si="226"/>
        <v>----</v>
      </c>
      <c r="K203" s="25">
        <f t="shared" si="217"/>
        <v>0</v>
      </c>
      <c r="L203" s="25">
        <f t="shared" si="218"/>
        <v>0</v>
      </c>
      <c r="M203" s="23" t="str">
        <f t="shared" si="227"/>
        <v>----</v>
      </c>
    </row>
    <row r="204" spans="1:13" ht="12.75" customHeight="1" x14ac:dyDescent="0.3">
      <c r="A204" s="20" t="s">
        <v>42</v>
      </c>
      <c r="B204" s="25">
        <f t="shared" si="208"/>
        <v>1454935.5</v>
      </c>
      <c r="C204" s="51">
        <f t="shared" si="209"/>
        <v>964849.29999999993</v>
      </c>
      <c r="D204" s="23">
        <f t="shared" si="224"/>
        <v>0.66315606430663077</v>
      </c>
      <c r="E204" s="25">
        <f t="shared" si="211"/>
        <v>781383.1</v>
      </c>
      <c r="F204" s="51">
        <f t="shared" si="212"/>
        <v>920859.7</v>
      </c>
      <c r="G204" s="23">
        <f t="shared" si="225"/>
        <v>1.1784996373737799</v>
      </c>
      <c r="H204" s="25">
        <f t="shared" si="214"/>
        <v>1167284.2000000002</v>
      </c>
      <c r="I204" s="25">
        <f t="shared" si="215"/>
        <v>820881.1</v>
      </c>
      <c r="J204" s="23">
        <f t="shared" si="226"/>
        <v>0.70324013637809868</v>
      </c>
      <c r="K204" s="25">
        <f t="shared" si="217"/>
        <v>1258220.8999999999</v>
      </c>
      <c r="L204" s="25">
        <f t="shared" si="218"/>
        <v>0</v>
      </c>
      <c r="M204" s="23">
        <f t="shared" si="227"/>
        <v>0</v>
      </c>
    </row>
    <row r="205" spans="1:13" ht="12.75" customHeight="1" x14ac:dyDescent="0.3">
      <c r="A205" s="30" t="s">
        <v>43</v>
      </c>
      <c r="B205" s="25">
        <f t="shared" si="208"/>
        <v>0</v>
      </c>
      <c r="C205" s="51">
        <f t="shared" si="209"/>
        <v>0</v>
      </c>
      <c r="D205" s="63" t="str">
        <f t="shared" si="224"/>
        <v>----</v>
      </c>
      <c r="E205" s="25">
        <f t="shared" si="211"/>
        <v>0</v>
      </c>
      <c r="F205" s="51">
        <f t="shared" si="212"/>
        <v>0</v>
      </c>
      <c r="G205" s="63" t="str">
        <f t="shared" si="225"/>
        <v>----</v>
      </c>
      <c r="H205" s="25">
        <f t="shared" si="214"/>
        <v>0</v>
      </c>
      <c r="I205" s="25">
        <f t="shared" si="215"/>
        <v>0</v>
      </c>
      <c r="J205" s="63" t="str">
        <f t="shared" si="226"/>
        <v>----</v>
      </c>
      <c r="K205" s="25">
        <f t="shared" si="217"/>
        <v>0</v>
      </c>
      <c r="L205" s="25">
        <f t="shared" si="218"/>
        <v>0</v>
      </c>
      <c r="M205" s="63" t="str">
        <f t="shared" si="227"/>
        <v>----</v>
      </c>
    </row>
    <row r="206" spans="1:13" ht="12.75" customHeight="1" x14ac:dyDescent="0.3">
      <c r="A206" s="20" t="s">
        <v>44</v>
      </c>
      <c r="B206" s="25">
        <f t="shared" si="208"/>
        <v>622618</v>
      </c>
      <c r="C206" s="51">
        <f t="shared" si="209"/>
        <v>1882401.6</v>
      </c>
      <c r="D206" s="23">
        <f t="shared" si="224"/>
        <v>3.0233652094863945</v>
      </c>
      <c r="E206" s="25">
        <f t="shared" si="211"/>
        <v>1111263.8</v>
      </c>
      <c r="F206" s="51">
        <f t="shared" si="212"/>
        <v>1530898.4</v>
      </c>
      <c r="G206" s="23">
        <f t="shared" si="225"/>
        <v>1.3776192475629998</v>
      </c>
      <c r="H206" s="25">
        <f t="shared" si="214"/>
        <v>1282475.3500000001</v>
      </c>
      <c r="I206" s="25">
        <f t="shared" si="215"/>
        <v>1535215.6</v>
      </c>
      <c r="J206" s="23">
        <f t="shared" si="226"/>
        <v>1.1970722088342673</v>
      </c>
      <c r="K206" s="25">
        <f t="shared" si="217"/>
        <v>2684115.5999999996</v>
      </c>
      <c r="L206" s="25">
        <f t="shared" si="218"/>
        <v>0</v>
      </c>
      <c r="M206" s="23">
        <f t="shared" si="227"/>
        <v>0</v>
      </c>
    </row>
    <row r="207" spans="1:13" ht="12.75" customHeight="1" x14ac:dyDescent="0.3">
      <c r="A207" s="30" t="s">
        <v>45</v>
      </c>
      <c r="B207" s="25">
        <f t="shared" si="208"/>
        <v>0</v>
      </c>
      <c r="C207" s="51">
        <f t="shared" si="209"/>
        <v>0</v>
      </c>
      <c r="D207" s="23" t="str">
        <f t="shared" si="224"/>
        <v>----</v>
      </c>
      <c r="E207" s="25">
        <f t="shared" si="211"/>
        <v>0</v>
      </c>
      <c r="F207" s="51">
        <f t="shared" si="212"/>
        <v>0</v>
      </c>
      <c r="G207" s="23" t="str">
        <f t="shared" si="225"/>
        <v>----</v>
      </c>
      <c r="H207" s="25">
        <f t="shared" si="214"/>
        <v>1359.8</v>
      </c>
      <c r="I207" s="25">
        <f t="shared" si="215"/>
        <v>0</v>
      </c>
      <c r="J207" s="23">
        <f t="shared" si="226"/>
        <v>0</v>
      </c>
      <c r="K207" s="25">
        <f t="shared" si="217"/>
        <v>0</v>
      </c>
      <c r="L207" s="25">
        <f t="shared" si="218"/>
        <v>0</v>
      </c>
      <c r="M207" s="23" t="str">
        <f t="shared" si="227"/>
        <v>----</v>
      </c>
    </row>
    <row r="208" spans="1:13" ht="12.75" customHeight="1" x14ac:dyDescent="0.3">
      <c r="A208" s="30" t="s">
        <v>46</v>
      </c>
      <c r="B208" s="25">
        <f t="shared" si="208"/>
        <v>281267</v>
      </c>
      <c r="C208" s="51">
        <f t="shared" si="209"/>
        <v>252367.5</v>
      </c>
      <c r="D208" s="23">
        <f t="shared" si="224"/>
        <v>0.89725243274184319</v>
      </c>
      <c r="E208" s="25">
        <f t="shared" si="211"/>
        <v>250895.5</v>
      </c>
      <c r="F208" s="51">
        <f t="shared" si="212"/>
        <v>136367</v>
      </c>
      <c r="G208" s="23">
        <f t="shared" si="225"/>
        <v>0.54352110739331716</v>
      </c>
      <c r="H208" s="25">
        <f t="shared" si="214"/>
        <v>241189.5</v>
      </c>
      <c r="I208" s="25">
        <f t="shared" si="215"/>
        <v>280082.5</v>
      </c>
      <c r="J208" s="23">
        <f t="shared" si="226"/>
        <v>1.1612549468364086</v>
      </c>
      <c r="K208" s="25">
        <f t="shared" si="217"/>
        <v>285119.5</v>
      </c>
      <c r="L208" s="25">
        <f t="shared" si="218"/>
        <v>0</v>
      </c>
      <c r="M208" s="23">
        <f t="shared" si="227"/>
        <v>0</v>
      </c>
    </row>
    <row r="209" spans="1:13" ht="12.75" customHeight="1" x14ac:dyDescent="0.3">
      <c r="A209" s="20" t="s">
        <v>47</v>
      </c>
      <c r="B209" s="25">
        <f t="shared" si="208"/>
        <v>0</v>
      </c>
      <c r="C209" s="51">
        <f t="shared" si="209"/>
        <v>0</v>
      </c>
      <c r="D209" s="63" t="str">
        <f t="shared" si="224"/>
        <v>----</v>
      </c>
      <c r="E209" s="25">
        <f t="shared" si="211"/>
        <v>0</v>
      </c>
      <c r="F209" s="51">
        <f t="shared" si="212"/>
        <v>0</v>
      </c>
      <c r="G209" s="63" t="str">
        <f t="shared" si="225"/>
        <v>----</v>
      </c>
      <c r="H209" s="25">
        <f t="shared" si="214"/>
        <v>0</v>
      </c>
      <c r="I209" s="25">
        <f t="shared" si="215"/>
        <v>0</v>
      </c>
      <c r="J209" s="63" t="str">
        <f t="shared" si="226"/>
        <v>----</v>
      </c>
      <c r="K209" s="25">
        <f t="shared" si="217"/>
        <v>0</v>
      </c>
      <c r="L209" s="25">
        <f t="shared" si="218"/>
        <v>0</v>
      </c>
      <c r="M209" s="63" t="str">
        <f t="shared" si="227"/>
        <v>----</v>
      </c>
    </row>
    <row r="210" spans="1:13" ht="12.75" customHeight="1" x14ac:dyDescent="0.3">
      <c r="A210" s="30" t="s">
        <v>48</v>
      </c>
      <c r="B210" s="25">
        <f t="shared" si="208"/>
        <v>603132</v>
      </c>
      <c r="C210" s="51">
        <f t="shared" si="209"/>
        <v>640920.9</v>
      </c>
      <c r="D210" s="23">
        <f t="shared" si="224"/>
        <v>1.0626544438033465</v>
      </c>
      <c r="E210" s="25">
        <f t="shared" si="211"/>
        <v>491760</v>
      </c>
      <c r="F210" s="51">
        <f t="shared" si="212"/>
        <v>947769.20000000007</v>
      </c>
      <c r="G210" s="23">
        <f t="shared" si="225"/>
        <v>1.927300309093867</v>
      </c>
      <c r="H210" s="25">
        <f t="shared" si="214"/>
        <v>521136</v>
      </c>
      <c r="I210" s="25">
        <f t="shared" si="215"/>
        <v>648535.94999999995</v>
      </c>
      <c r="J210" s="23">
        <f t="shared" si="226"/>
        <v>1.2444658400110526</v>
      </c>
      <c r="K210" s="25">
        <f t="shared" si="217"/>
        <v>560591.30000000005</v>
      </c>
      <c r="L210" s="25">
        <f t="shared" si="218"/>
        <v>0</v>
      </c>
      <c r="M210" s="23">
        <f t="shared" si="227"/>
        <v>0</v>
      </c>
    </row>
    <row r="211" spans="1:13" ht="12.75" customHeight="1" x14ac:dyDescent="0.3">
      <c r="A211" s="20" t="s">
        <v>49</v>
      </c>
      <c r="B211" s="25">
        <f t="shared" si="208"/>
        <v>33086.5</v>
      </c>
      <c r="C211" s="51">
        <f t="shared" si="209"/>
        <v>13984</v>
      </c>
      <c r="D211" s="23">
        <f t="shared" si="224"/>
        <v>0.42264972118537775</v>
      </c>
      <c r="E211" s="25">
        <f t="shared" si="211"/>
        <v>0</v>
      </c>
      <c r="F211" s="51">
        <f t="shared" si="212"/>
        <v>12320</v>
      </c>
      <c r="G211" s="23" t="str">
        <f t="shared" si="225"/>
        <v>----</v>
      </c>
      <c r="H211" s="25">
        <f t="shared" si="214"/>
        <v>0</v>
      </c>
      <c r="I211" s="25">
        <f t="shared" si="215"/>
        <v>0</v>
      </c>
      <c r="J211" s="23" t="str">
        <f t="shared" si="226"/>
        <v>----</v>
      </c>
      <c r="K211" s="25">
        <f t="shared" si="217"/>
        <v>0</v>
      </c>
      <c r="L211" s="25">
        <f t="shared" si="218"/>
        <v>0</v>
      </c>
      <c r="M211" s="23" t="str">
        <f t="shared" si="227"/>
        <v>----</v>
      </c>
    </row>
    <row r="212" spans="1:13" ht="12.75" customHeight="1" thickBot="1" x14ac:dyDescent="0.35">
      <c r="A212" s="20" t="s">
        <v>50</v>
      </c>
      <c r="B212" s="25">
        <f t="shared" si="208"/>
        <v>625626.80000000005</v>
      </c>
      <c r="C212" s="51">
        <f t="shared" si="209"/>
        <v>1019255.5499999999</v>
      </c>
      <c r="D212" s="33">
        <f t="shared" si="224"/>
        <v>1.6291750129629994</v>
      </c>
      <c r="E212" s="25">
        <f t="shared" si="211"/>
        <v>293030.40000000002</v>
      </c>
      <c r="F212" s="51">
        <f t="shared" si="212"/>
        <v>652910.4</v>
      </c>
      <c r="G212" s="33">
        <f t="shared" si="225"/>
        <v>2.2281319617350279</v>
      </c>
      <c r="H212" s="25">
        <f t="shared" si="214"/>
        <v>543557.80000000005</v>
      </c>
      <c r="I212" s="25">
        <f t="shared" si="215"/>
        <v>601368</v>
      </c>
      <c r="J212" s="33">
        <f t="shared" si="226"/>
        <v>1.1063552027033738</v>
      </c>
      <c r="K212" s="25">
        <f t="shared" si="217"/>
        <v>467060.4</v>
      </c>
      <c r="L212" s="25">
        <f t="shared" si="218"/>
        <v>0</v>
      </c>
      <c r="M212" s="33">
        <f t="shared" si="227"/>
        <v>0</v>
      </c>
    </row>
    <row r="213" spans="1:13" ht="12.75" customHeight="1" x14ac:dyDescent="0.3">
      <c r="A213" s="20" t="s">
        <v>51</v>
      </c>
      <c r="B213" s="25">
        <f t="shared" si="208"/>
        <v>717172.5</v>
      </c>
      <c r="C213" s="51">
        <f t="shared" si="209"/>
        <v>1224865.7</v>
      </c>
      <c r="D213" s="61">
        <f t="shared" si="224"/>
        <v>1.7079094639016414</v>
      </c>
      <c r="E213" s="25">
        <f t="shared" si="211"/>
        <v>341000</v>
      </c>
      <c r="F213" s="51">
        <f t="shared" si="212"/>
        <v>1416647.4</v>
      </c>
      <c r="G213" s="61">
        <f t="shared" si="225"/>
        <v>4.1543912023460408</v>
      </c>
      <c r="H213" s="25">
        <f t="shared" si="214"/>
        <v>1004245</v>
      </c>
      <c r="I213" s="25">
        <f t="shared" si="215"/>
        <v>1297571.1000000001</v>
      </c>
      <c r="J213" s="61">
        <f t="shared" si="226"/>
        <v>1.29208619410602</v>
      </c>
      <c r="K213" s="25">
        <f t="shared" si="217"/>
        <v>1128088.5</v>
      </c>
      <c r="L213" s="25">
        <f t="shared" si="218"/>
        <v>0</v>
      </c>
      <c r="M213" s="61">
        <f t="shared" si="227"/>
        <v>0</v>
      </c>
    </row>
    <row r="214" spans="1:13" ht="12.75" customHeight="1" x14ac:dyDescent="0.3">
      <c r="A214" s="20" t="s">
        <v>52</v>
      </c>
      <c r="B214" s="25">
        <f t="shared" si="208"/>
        <v>0</v>
      </c>
      <c r="C214" s="51">
        <f t="shared" si="209"/>
        <v>0</v>
      </c>
      <c r="D214" s="62" t="str">
        <f t="shared" si="224"/>
        <v>----</v>
      </c>
      <c r="E214" s="25">
        <f t="shared" si="211"/>
        <v>0</v>
      </c>
      <c r="F214" s="51">
        <f t="shared" si="212"/>
        <v>0</v>
      </c>
      <c r="G214" s="62" t="str">
        <f t="shared" si="225"/>
        <v>----</v>
      </c>
      <c r="H214" s="25">
        <f t="shared" si="214"/>
        <v>0</v>
      </c>
      <c r="I214" s="25">
        <f t="shared" si="215"/>
        <v>196222.90000000002</v>
      </c>
      <c r="J214" s="62" t="str">
        <f t="shared" si="226"/>
        <v>----</v>
      </c>
      <c r="K214" s="25">
        <f t="shared" si="217"/>
        <v>0</v>
      </c>
      <c r="L214" s="25">
        <f t="shared" si="218"/>
        <v>0</v>
      </c>
      <c r="M214" s="62" t="str">
        <f t="shared" si="227"/>
        <v>----</v>
      </c>
    </row>
    <row r="215" spans="1:13" ht="12.75" customHeight="1" x14ac:dyDescent="0.3">
      <c r="A215" s="20" t="s">
        <v>54</v>
      </c>
      <c r="B215" s="25">
        <f t="shared" si="208"/>
        <v>6197094.5</v>
      </c>
      <c r="C215" s="51">
        <f t="shared" si="209"/>
        <v>103493.95</v>
      </c>
      <c r="D215" s="62">
        <f t="shared" si="224"/>
        <v>1.6700398872407062E-2</v>
      </c>
      <c r="E215" s="25">
        <f t="shared" si="211"/>
        <v>81200</v>
      </c>
      <c r="F215" s="51">
        <f t="shared" si="212"/>
        <v>99425.9</v>
      </c>
      <c r="G215" s="62">
        <f t="shared" si="225"/>
        <v>1.224456896551724</v>
      </c>
      <c r="H215" s="25">
        <f t="shared" si="214"/>
        <v>198526.75</v>
      </c>
      <c r="I215" s="25">
        <f t="shared" si="215"/>
        <v>100903.4</v>
      </c>
      <c r="J215" s="62">
        <f t="shared" si="226"/>
        <v>0.50826097742495657</v>
      </c>
      <c r="K215" s="25">
        <f t="shared" si="217"/>
        <v>363071</v>
      </c>
      <c r="L215" s="25">
        <f t="shared" si="218"/>
        <v>0</v>
      </c>
      <c r="M215" s="62">
        <f t="shared" si="227"/>
        <v>0</v>
      </c>
    </row>
    <row r="216" spans="1:13" ht="12.75" customHeight="1" x14ac:dyDescent="0.3">
      <c r="A216" s="28" t="s">
        <v>55</v>
      </c>
      <c r="B216" s="25">
        <f t="shared" si="208"/>
        <v>894159.77</v>
      </c>
      <c r="C216" s="51">
        <f t="shared" si="209"/>
        <v>2829829.57</v>
      </c>
      <c r="D216" s="63">
        <f t="shared" si="224"/>
        <v>3.1647918693546231</v>
      </c>
      <c r="E216" s="25">
        <f t="shared" si="211"/>
        <v>667872.10000000009</v>
      </c>
      <c r="F216" s="51">
        <f t="shared" si="212"/>
        <v>657878.44999999995</v>
      </c>
      <c r="G216" s="63">
        <f t="shared" si="225"/>
        <v>0.98503658110587322</v>
      </c>
      <c r="H216" s="25">
        <f t="shared" si="214"/>
        <v>1300305.33</v>
      </c>
      <c r="I216" s="25">
        <f t="shared" si="215"/>
        <v>2318840.8400000003</v>
      </c>
      <c r="J216" s="63">
        <f t="shared" si="226"/>
        <v>1.7833048796316171</v>
      </c>
      <c r="K216" s="25">
        <f t="shared" si="217"/>
        <v>2397751.1499999994</v>
      </c>
      <c r="L216" s="25">
        <f t="shared" si="218"/>
        <v>0</v>
      </c>
      <c r="M216" s="63">
        <f t="shared" si="227"/>
        <v>0</v>
      </c>
    </row>
    <row r="217" spans="1:13" ht="12.75" customHeight="1" x14ac:dyDescent="0.3">
      <c r="A217" s="28" t="s">
        <v>56</v>
      </c>
      <c r="B217" s="25">
        <f t="shared" si="208"/>
        <v>1229622.92</v>
      </c>
      <c r="C217" s="51">
        <f t="shared" si="209"/>
        <v>2195846.1300000004</v>
      </c>
      <c r="D217" s="23">
        <f t="shared" si="224"/>
        <v>1.7857882235962228</v>
      </c>
      <c r="E217" s="25">
        <f t="shared" si="211"/>
        <v>1139199.83</v>
      </c>
      <c r="F217" s="51">
        <f t="shared" si="212"/>
        <v>2372317.34</v>
      </c>
      <c r="G217" s="23">
        <f t="shared" si="225"/>
        <v>2.0824417960104502</v>
      </c>
      <c r="H217" s="25">
        <f t="shared" si="214"/>
        <v>1208876.7200000002</v>
      </c>
      <c r="I217" s="25">
        <f t="shared" si="215"/>
        <v>2455474.69</v>
      </c>
      <c r="J217" s="23">
        <f t="shared" si="226"/>
        <v>2.0312035539901863</v>
      </c>
      <c r="K217" s="25">
        <f t="shared" si="217"/>
        <v>1684323.5</v>
      </c>
      <c r="L217" s="25">
        <f t="shared" si="218"/>
        <v>0</v>
      </c>
      <c r="M217" s="23">
        <f t="shared" si="227"/>
        <v>0</v>
      </c>
    </row>
    <row r="218" spans="1:13" ht="12.75" customHeight="1" x14ac:dyDescent="0.3">
      <c r="A218" s="29" t="s">
        <v>57</v>
      </c>
      <c r="B218" s="25">
        <f t="shared" si="208"/>
        <v>0</v>
      </c>
      <c r="C218" s="51">
        <f t="shared" si="209"/>
        <v>0</v>
      </c>
      <c r="D218" s="63" t="str">
        <f t="shared" si="224"/>
        <v>----</v>
      </c>
      <c r="E218" s="25">
        <f t="shared" si="211"/>
        <v>0</v>
      </c>
      <c r="F218" s="51">
        <f t="shared" si="212"/>
        <v>0</v>
      </c>
      <c r="G218" s="63" t="str">
        <f t="shared" si="225"/>
        <v>----</v>
      </c>
      <c r="H218" s="25">
        <f t="shared" si="214"/>
        <v>0</v>
      </c>
      <c r="I218" s="25">
        <f t="shared" si="215"/>
        <v>0</v>
      </c>
      <c r="J218" s="63" t="str">
        <f t="shared" si="226"/>
        <v>----</v>
      </c>
      <c r="K218" s="25">
        <f t="shared" si="217"/>
        <v>0</v>
      </c>
      <c r="L218" s="25">
        <f t="shared" si="218"/>
        <v>0</v>
      </c>
      <c r="M218" s="63" t="str">
        <f t="shared" si="227"/>
        <v>----</v>
      </c>
    </row>
    <row r="219" spans="1:13" ht="12.75" customHeight="1" x14ac:dyDescent="0.3">
      <c r="A219" s="30" t="s">
        <v>95</v>
      </c>
      <c r="B219" s="25">
        <f t="shared" si="208"/>
        <v>0</v>
      </c>
      <c r="C219" s="51">
        <f t="shared" si="209"/>
        <v>332403.5</v>
      </c>
      <c r="D219" s="23" t="str">
        <f t="shared" ref="D219" si="228">+IFERROR(C219/B219,"----")</f>
        <v>----</v>
      </c>
      <c r="E219" s="25">
        <f t="shared" si="211"/>
        <v>0</v>
      </c>
      <c r="F219" s="51">
        <f t="shared" si="212"/>
        <v>0</v>
      </c>
      <c r="G219" s="23" t="str">
        <f t="shared" ref="G219" si="229">+IFERROR(F219/E219,"----")</f>
        <v>----</v>
      </c>
      <c r="H219" s="25">
        <f t="shared" si="214"/>
        <v>0</v>
      </c>
      <c r="I219" s="25">
        <f t="shared" si="215"/>
        <v>0</v>
      </c>
      <c r="J219" s="23" t="str">
        <f t="shared" ref="J219" si="230">+IFERROR(I219/H219,"----")</f>
        <v>----</v>
      </c>
      <c r="K219" s="25">
        <f t="shared" si="217"/>
        <v>0</v>
      </c>
      <c r="L219" s="25">
        <f t="shared" si="218"/>
        <v>0</v>
      </c>
      <c r="M219" s="23" t="str">
        <f t="shared" ref="M219" si="231">+IFERROR(L219/K219,"----")</f>
        <v>----</v>
      </c>
    </row>
    <row r="220" spans="1:13" ht="12.75" customHeight="1" x14ac:dyDescent="0.3">
      <c r="A220" s="30" t="s">
        <v>58</v>
      </c>
      <c r="B220" s="25">
        <f t="shared" si="208"/>
        <v>175817.8</v>
      </c>
      <c r="C220" s="51">
        <f t="shared" si="209"/>
        <v>141999.25</v>
      </c>
      <c r="D220" s="23">
        <f t="shared" si="224"/>
        <v>0.80765002178391498</v>
      </c>
      <c r="E220" s="25">
        <f t="shared" si="211"/>
        <v>177147.7</v>
      </c>
      <c r="F220" s="51">
        <f t="shared" si="212"/>
        <v>10217.35</v>
      </c>
      <c r="G220" s="23">
        <f t="shared" si="225"/>
        <v>5.767701189459417E-2</v>
      </c>
      <c r="H220" s="25">
        <f t="shared" si="214"/>
        <v>168673.4</v>
      </c>
      <c r="I220" s="25">
        <f t="shared" si="215"/>
        <v>0</v>
      </c>
      <c r="J220" s="23">
        <f t="shared" si="226"/>
        <v>0</v>
      </c>
      <c r="K220" s="25">
        <f t="shared" si="217"/>
        <v>181741.4</v>
      </c>
      <c r="L220" s="25">
        <f t="shared" si="218"/>
        <v>0</v>
      </c>
      <c r="M220" s="23">
        <f t="shared" si="227"/>
        <v>0</v>
      </c>
    </row>
    <row r="221" spans="1:13" ht="12.75" customHeight="1" x14ac:dyDescent="0.3">
      <c r="A221" s="30" t="s">
        <v>59</v>
      </c>
      <c r="B221" s="25">
        <f t="shared" si="208"/>
        <v>78364</v>
      </c>
      <c r="C221" s="51">
        <f t="shared" si="209"/>
        <v>81037.200000000012</v>
      </c>
      <c r="D221" s="23">
        <f t="shared" si="224"/>
        <v>1.0341126027257415</v>
      </c>
      <c r="E221" s="25">
        <f t="shared" si="211"/>
        <v>78169</v>
      </c>
      <c r="F221" s="51">
        <f t="shared" si="212"/>
        <v>108570</v>
      </c>
      <c r="G221" s="23">
        <f t="shared" si="225"/>
        <v>1.3889137637682458</v>
      </c>
      <c r="H221" s="25">
        <f t="shared" si="214"/>
        <v>86144.5</v>
      </c>
      <c r="I221" s="25">
        <f t="shared" si="215"/>
        <v>53077.2</v>
      </c>
      <c r="J221" s="23">
        <f t="shared" si="226"/>
        <v>0.61614148320554418</v>
      </c>
      <c r="K221" s="25">
        <f t="shared" si="217"/>
        <v>70557.5</v>
      </c>
      <c r="L221" s="25">
        <f t="shared" si="218"/>
        <v>0</v>
      </c>
      <c r="M221" s="23">
        <f t="shared" si="227"/>
        <v>0</v>
      </c>
    </row>
    <row r="222" spans="1:13" ht="12.75" customHeight="1" x14ac:dyDescent="0.3">
      <c r="A222" s="30" t="s">
        <v>60</v>
      </c>
      <c r="B222" s="25">
        <f t="shared" si="208"/>
        <v>250774</v>
      </c>
      <c r="C222" s="51">
        <f t="shared" si="209"/>
        <v>238243.5</v>
      </c>
      <c r="D222" s="63">
        <f t="shared" si="224"/>
        <v>0.95003269876462471</v>
      </c>
      <c r="E222" s="25">
        <f t="shared" si="211"/>
        <v>253124.19999999998</v>
      </c>
      <c r="F222" s="51">
        <f t="shared" si="212"/>
        <v>228891.2</v>
      </c>
      <c r="G222" s="63">
        <f t="shared" si="225"/>
        <v>0.90426438878621651</v>
      </c>
      <c r="H222" s="25">
        <f t="shared" si="214"/>
        <v>285160.40000000002</v>
      </c>
      <c r="I222" s="25">
        <f t="shared" si="215"/>
        <v>162801</v>
      </c>
      <c r="J222" s="63">
        <f t="shared" si="226"/>
        <v>0.57091026664291389</v>
      </c>
      <c r="K222" s="25">
        <f t="shared" si="217"/>
        <v>295380.2</v>
      </c>
      <c r="L222" s="25">
        <f t="shared" si="218"/>
        <v>0</v>
      </c>
      <c r="M222" s="63">
        <f t="shared" si="227"/>
        <v>0</v>
      </c>
    </row>
    <row r="223" spans="1:13" ht="12.75" customHeight="1" thickBot="1" x14ac:dyDescent="0.35">
      <c r="A223" s="37" t="s">
        <v>61</v>
      </c>
      <c r="B223" s="25">
        <f t="shared" si="208"/>
        <v>0</v>
      </c>
      <c r="C223" s="51">
        <f t="shared" si="209"/>
        <v>61485.9</v>
      </c>
      <c r="D223" s="23" t="str">
        <f t="shared" si="224"/>
        <v>----</v>
      </c>
      <c r="E223" s="25">
        <f t="shared" si="211"/>
        <v>0</v>
      </c>
      <c r="F223" s="51">
        <f t="shared" si="212"/>
        <v>13038</v>
      </c>
      <c r="G223" s="23" t="str">
        <f t="shared" si="225"/>
        <v>----</v>
      </c>
      <c r="H223" s="25">
        <f t="shared" si="214"/>
        <v>0</v>
      </c>
      <c r="I223" s="25">
        <f t="shared" si="215"/>
        <v>101928</v>
      </c>
      <c r="J223" s="23" t="str">
        <f t="shared" si="226"/>
        <v>----</v>
      </c>
      <c r="K223" s="25">
        <f t="shared" si="217"/>
        <v>44693.7</v>
      </c>
      <c r="L223" s="25">
        <f t="shared" si="218"/>
        <v>0</v>
      </c>
      <c r="M223" s="23">
        <f t="shared" si="227"/>
        <v>0</v>
      </c>
    </row>
    <row r="224" spans="1:13" ht="12.75" customHeight="1" x14ac:dyDescent="0.3">
      <c r="A224" s="20" t="s">
        <v>62</v>
      </c>
      <c r="B224" s="25">
        <f t="shared" si="208"/>
        <v>147752</v>
      </c>
      <c r="C224" s="51">
        <f t="shared" si="209"/>
        <v>106271</v>
      </c>
      <c r="D224" s="23">
        <f t="shared" si="224"/>
        <v>0.71925253126861222</v>
      </c>
      <c r="E224" s="25">
        <f t="shared" si="211"/>
        <v>169015</v>
      </c>
      <c r="F224" s="51">
        <f t="shared" si="212"/>
        <v>102580.5</v>
      </c>
      <c r="G224" s="23">
        <f t="shared" si="225"/>
        <v>0.6069313374552554</v>
      </c>
      <c r="H224" s="25">
        <f t="shared" si="214"/>
        <v>194309.5</v>
      </c>
      <c r="I224" s="25">
        <f t="shared" si="215"/>
        <v>153175</v>
      </c>
      <c r="J224" s="23">
        <f t="shared" si="226"/>
        <v>0.78830422598997996</v>
      </c>
      <c r="K224" s="25">
        <f t="shared" si="217"/>
        <v>137802.5</v>
      </c>
      <c r="L224" s="25">
        <f t="shared" si="218"/>
        <v>0</v>
      </c>
      <c r="M224" s="23">
        <f t="shared" si="227"/>
        <v>0</v>
      </c>
    </row>
    <row r="225" spans="1:13" ht="12.75" customHeight="1" thickBot="1" x14ac:dyDescent="0.35">
      <c r="A225" s="20" t="s">
        <v>63</v>
      </c>
      <c r="B225" s="25">
        <f t="shared" si="208"/>
        <v>155586</v>
      </c>
      <c r="C225" s="51">
        <f t="shared" si="209"/>
        <v>159718</v>
      </c>
      <c r="D225" s="33">
        <f t="shared" si="224"/>
        <v>1.0265576594295116</v>
      </c>
      <c r="E225" s="25">
        <f t="shared" si="211"/>
        <v>240336.5</v>
      </c>
      <c r="F225" s="51">
        <f t="shared" si="212"/>
        <v>162870.5</v>
      </c>
      <c r="G225" s="33">
        <f t="shared" si="225"/>
        <v>0.67767692381307043</v>
      </c>
      <c r="H225" s="25">
        <f t="shared" si="214"/>
        <v>202650.5</v>
      </c>
      <c r="I225" s="25">
        <f t="shared" si="215"/>
        <v>163481.5</v>
      </c>
      <c r="J225" s="33">
        <f t="shared" si="226"/>
        <v>0.80671648971998589</v>
      </c>
      <c r="K225" s="25">
        <f t="shared" si="217"/>
        <v>156728</v>
      </c>
      <c r="L225" s="25">
        <f t="shared" si="218"/>
        <v>0</v>
      </c>
      <c r="M225" s="33">
        <f t="shared" si="227"/>
        <v>0</v>
      </c>
    </row>
    <row r="226" spans="1:13" ht="12.75" customHeight="1" thickBot="1" x14ac:dyDescent="0.35">
      <c r="A226" s="37" t="s">
        <v>64</v>
      </c>
      <c r="B226" s="25">
        <f t="shared" si="208"/>
        <v>1982809.77</v>
      </c>
      <c r="C226" s="51">
        <f t="shared" si="209"/>
        <v>2331609.4300000002</v>
      </c>
      <c r="D226" s="33">
        <f t="shared" si="224"/>
        <v>1.1759118122562005</v>
      </c>
      <c r="E226" s="25">
        <f t="shared" si="211"/>
        <v>1638397.19</v>
      </c>
      <c r="F226" s="51">
        <f t="shared" si="212"/>
        <v>2443306.6899999995</v>
      </c>
      <c r="G226" s="33">
        <f t="shared" si="225"/>
        <v>1.4912786135820946</v>
      </c>
      <c r="H226" s="25">
        <f t="shared" si="214"/>
        <v>1928715.1199999996</v>
      </c>
      <c r="I226" s="25">
        <f t="shared" si="215"/>
        <v>3664280.19</v>
      </c>
      <c r="J226" s="33">
        <f t="shared" si="226"/>
        <v>1.8998555836488702</v>
      </c>
      <c r="K226" s="25">
        <f t="shared" si="217"/>
        <v>2607845.29</v>
      </c>
      <c r="L226" s="25">
        <f t="shared" si="218"/>
        <v>0</v>
      </c>
      <c r="M226" s="33">
        <f t="shared" si="227"/>
        <v>0</v>
      </c>
    </row>
    <row r="227" spans="1:13" ht="18.75" customHeight="1" thickBot="1" x14ac:dyDescent="0.35">
      <c r="A227" s="29" t="s">
        <v>65</v>
      </c>
      <c r="B227" s="25">
        <f t="shared" si="208"/>
        <v>524960.54</v>
      </c>
      <c r="C227" s="51">
        <f t="shared" si="209"/>
        <v>499162.78999999992</v>
      </c>
      <c r="D227" s="64">
        <f t="shared" si="224"/>
        <v>0.95085773494518255</v>
      </c>
      <c r="E227" s="25">
        <f t="shared" si="211"/>
        <v>459463.43999999994</v>
      </c>
      <c r="F227" s="51">
        <f t="shared" si="212"/>
        <v>459456.12</v>
      </c>
      <c r="G227" s="64">
        <f t="shared" si="225"/>
        <v>0.99998406837331832</v>
      </c>
      <c r="H227" s="25">
        <f t="shared" si="214"/>
        <v>511156.27</v>
      </c>
      <c r="I227" s="25">
        <f t="shared" si="215"/>
        <v>508115.83000000007</v>
      </c>
      <c r="J227" s="64">
        <f t="shared" si="226"/>
        <v>0.9940518385894006</v>
      </c>
      <c r="K227" s="25">
        <f t="shared" si="217"/>
        <v>562411.30000000016</v>
      </c>
      <c r="L227" s="25">
        <f t="shared" si="218"/>
        <v>0</v>
      </c>
      <c r="M227" s="64">
        <f t="shared" si="227"/>
        <v>0</v>
      </c>
    </row>
    <row r="228" spans="1:13" ht="18.75" customHeight="1" thickBot="1" x14ac:dyDescent="0.35">
      <c r="A228" s="76" t="s">
        <v>88</v>
      </c>
      <c r="B228" s="25">
        <f t="shared" si="208"/>
        <v>739365.70996999706</v>
      </c>
      <c r="C228" s="51">
        <f t="shared" si="209"/>
        <v>140732.80000000002</v>
      </c>
      <c r="D228" s="64">
        <f t="shared" ref="D228" si="232">+IFERROR(C228/B228,"----")</f>
        <v>0.19034261137930086</v>
      </c>
      <c r="E228" s="25">
        <f t="shared" si="211"/>
        <v>-35433.550304001197</v>
      </c>
      <c r="F228" s="51">
        <f t="shared" si="212"/>
        <v>484433</v>
      </c>
      <c r="G228" s="64">
        <f t="shared" si="225"/>
        <v>-13.671590790192347</v>
      </c>
      <c r="H228" s="25">
        <f t="shared" si="214"/>
        <v>125111.05759999968</v>
      </c>
      <c r="I228" s="25">
        <f t="shared" si="215"/>
        <v>468503.10000000003</v>
      </c>
      <c r="J228" s="64">
        <f t="shared" si="226"/>
        <v>3.7446977828121342</v>
      </c>
      <c r="K228" s="25">
        <f t="shared" si="217"/>
        <v>516307.31140000134</v>
      </c>
      <c r="L228" s="25">
        <f t="shared" si="218"/>
        <v>0</v>
      </c>
      <c r="M228" s="64">
        <f t="shared" si="227"/>
        <v>0</v>
      </c>
    </row>
    <row r="229" spans="1:13" ht="18.75" customHeight="1" thickBot="1" x14ac:dyDescent="0.35">
      <c r="A229" s="114" t="s">
        <v>93</v>
      </c>
      <c r="B229" s="25">
        <f t="shared" si="208"/>
        <v>0</v>
      </c>
      <c r="C229" s="51">
        <f t="shared" si="209"/>
        <v>648042.75</v>
      </c>
      <c r="D229" s="64" t="str">
        <f t="shared" si="224"/>
        <v>----</v>
      </c>
      <c r="E229" s="25">
        <f t="shared" si="211"/>
        <v>0</v>
      </c>
      <c r="F229" s="51">
        <f t="shared" si="212"/>
        <v>240568.30999999997</v>
      </c>
      <c r="G229" s="64" t="str">
        <f t="shared" ref="G229" si="233">+IFERROR(F229/E229,"----")</f>
        <v>----</v>
      </c>
      <c r="H229" s="25">
        <f t="shared" si="214"/>
        <v>0</v>
      </c>
      <c r="I229" s="25">
        <f t="shared" si="215"/>
        <v>0</v>
      </c>
      <c r="J229" s="64" t="str">
        <f t="shared" ref="J229" si="234">+IFERROR(I229/H229,"----")</f>
        <v>----</v>
      </c>
      <c r="K229" s="25">
        <f t="shared" si="217"/>
        <v>0</v>
      </c>
      <c r="L229" s="25">
        <f t="shared" si="218"/>
        <v>0</v>
      </c>
      <c r="M229" s="64" t="str">
        <f t="shared" ref="M229" si="235">+IFERROR(L229/K229,"----")</f>
        <v>----</v>
      </c>
    </row>
    <row r="230" spans="1:13" ht="12.75" customHeight="1" thickBot="1" x14ac:dyDescent="0.35">
      <c r="A230" s="39" t="s">
        <v>66</v>
      </c>
      <c r="B230" s="40">
        <f>+SUM(B178:B229)</f>
        <v>34678914.424510993</v>
      </c>
      <c r="C230" s="40">
        <f>+SUM(C178:C229)</f>
        <v>35783952.389999993</v>
      </c>
      <c r="D230" s="65">
        <f t="shared" si="224"/>
        <v>1.0318648372887924</v>
      </c>
      <c r="E230" s="40">
        <f>+SUM(E178:E229)</f>
        <v>22662798.250207998</v>
      </c>
      <c r="F230" s="40">
        <f>+SUM(F178:F229)</f>
        <v>31392213.630299993</v>
      </c>
      <c r="G230" s="65">
        <f t="shared" si="225"/>
        <v>1.3851870048753523</v>
      </c>
      <c r="H230" s="40">
        <f>+SUM(H178:H229)</f>
        <v>27301332.359999999</v>
      </c>
      <c r="I230" s="40">
        <f>+SUM(I178:I229)</f>
        <v>40668136.596150003</v>
      </c>
      <c r="J230" s="65">
        <f t="shared" si="226"/>
        <v>1.4896026340360631</v>
      </c>
      <c r="K230" s="40">
        <f>+SUM(K178:K229)</f>
        <v>34676858.574799992</v>
      </c>
      <c r="L230" s="40">
        <f>+SUM(L178:L229)</f>
        <v>0</v>
      </c>
      <c r="M230" s="65">
        <f t="shared" si="227"/>
        <v>0</v>
      </c>
    </row>
    <row r="231" spans="1:13" ht="12.75" customHeight="1" x14ac:dyDescent="0.3"/>
    <row r="232" spans="1:13" ht="12.75" customHeight="1" x14ac:dyDescent="0.3"/>
    <row r="233" spans="1:13" ht="12.75" customHeight="1" x14ac:dyDescent="0.3"/>
    <row r="234" spans="1:13" ht="12.75" customHeight="1" x14ac:dyDescent="0.3"/>
    <row r="235" spans="1:13" ht="12.75" customHeight="1" x14ac:dyDescent="0.3"/>
    <row r="236" spans="1:13" ht="12.75" customHeight="1" x14ac:dyDescent="0.3"/>
    <row r="237" spans="1:13" ht="12.75" customHeight="1" x14ac:dyDescent="0.3"/>
    <row r="238" spans="1:13" ht="12.75" customHeight="1" x14ac:dyDescent="0.3"/>
    <row r="239" spans="1:13" ht="12.75" customHeight="1" x14ac:dyDescent="0.3"/>
    <row r="240" spans="1:13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  <row r="1004" ht="12.75" customHeight="1" x14ac:dyDescent="0.3"/>
    <row r="1005" ht="12.75" customHeight="1" x14ac:dyDescent="0.3"/>
    <row r="1006" ht="12.75" customHeight="1" x14ac:dyDescent="0.3"/>
    <row r="1007" ht="12.75" customHeight="1" x14ac:dyDescent="0.3"/>
    <row r="1008" ht="12.75" customHeight="1" x14ac:dyDescent="0.3"/>
    <row r="1009" ht="12.75" customHeight="1" x14ac:dyDescent="0.3"/>
    <row r="1010" ht="12.75" customHeight="1" x14ac:dyDescent="0.3"/>
    <row r="1011" ht="12.75" customHeight="1" x14ac:dyDescent="0.3"/>
    <row r="1012" ht="12.75" customHeight="1" x14ac:dyDescent="0.3"/>
    <row r="1013" ht="12.75" customHeight="1" x14ac:dyDescent="0.3"/>
    <row r="1014" ht="12.75" customHeight="1" x14ac:dyDescent="0.3"/>
    <row r="1015" ht="12.75" customHeight="1" x14ac:dyDescent="0.3"/>
    <row r="1016" ht="12.75" customHeight="1" x14ac:dyDescent="0.3"/>
    <row r="1017" ht="12.75" customHeight="1" x14ac:dyDescent="0.3"/>
    <row r="1018" ht="12.75" customHeight="1" x14ac:dyDescent="0.3"/>
    <row r="1019" ht="12.75" customHeight="1" x14ac:dyDescent="0.3"/>
    <row r="1020" ht="12.75" customHeight="1" x14ac:dyDescent="0.3"/>
    <row r="1021" ht="12.75" customHeight="1" x14ac:dyDescent="0.3"/>
    <row r="1022" ht="12.75" customHeight="1" x14ac:dyDescent="0.3"/>
    <row r="1023" ht="12.75" customHeight="1" x14ac:dyDescent="0.3"/>
    <row r="1024" ht="12.75" customHeight="1" x14ac:dyDescent="0.3"/>
    <row r="1025" ht="12.75" customHeight="1" x14ac:dyDescent="0.3"/>
    <row r="1026" ht="12.75" customHeight="1" x14ac:dyDescent="0.3"/>
    <row r="1027" ht="12.75" customHeight="1" x14ac:dyDescent="0.3"/>
    <row r="1028" ht="12.75" customHeight="1" x14ac:dyDescent="0.3"/>
    <row r="1029" ht="12.75" customHeight="1" x14ac:dyDescent="0.3"/>
    <row r="1030" ht="12.75" customHeight="1" x14ac:dyDescent="0.3"/>
    <row r="1031" ht="12.75" customHeight="1" x14ac:dyDescent="0.3"/>
    <row r="1032" ht="12.75" customHeight="1" x14ac:dyDescent="0.3"/>
    <row r="1033" ht="12.75" customHeight="1" x14ac:dyDescent="0.3"/>
    <row r="1034" ht="12.75" customHeight="1" x14ac:dyDescent="0.3"/>
    <row r="1035" ht="12.75" customHeight="1" x14ac:dyDescent="0.3"/>
    <row r="1036" ht="12.75" customHeight="1" x14ac:dyDescent="0.3"/>
    <row r="1037" ht="12.75" customHeight="1" x14ac:dyDescent="0.3"/>
    <row r="1038" ht="12.75" customHeight="1" x14ac:dyDescent="0.3"/>
    <row r="1039" ht="12.75" customHeight="1" x14ac:dyDescent="0.3"/>
    <row r="1040" ht="12.75" customHeight="1" x14ac:dyDescent="0.3"/>
    <row r="1041" ht="12.75" customHeight="1" x14ac:dyDescent="0.3"/>
    <row r="1042" ht="12.75" customHeight="1" x14ac:dyDescent="0.3"/>
    <row r="1043" ht="12.75" customHeight="1" x14ac:dyDescent="0.3"/>
    <row r="1044" ht="12.75" customHeight="1" x14ac:dyDescent="0.3"/>
    <row r="1045" ht="12.75" customHeight="1" x14ac:dyDescent="0.3"/>
    <row r="1046" ht="12.75" customHeight="1" x14ac:dyDescent="0.3"/>
    <row r="1047" ht="12.75" customHeight="1" x14ac:dyDescent="0.3"/>
    <row r="1048" ht="12.75" customHeight="1" x14ac:dyDescent="0.3"/>
    <row r="1049" ht="12.75" customHeight="1" x14ac:dyDescent="0.3"/>
    <row r="1050" ht="12.75" customHeight="1" x14ac:dyDescent="0.3"/>
    <row r="1051" ht="12.75" customHeight="1" x14ac:dyDescent="0.3"/>
    <row r="1052" ht="12.75" customHeight="1" x14ac:dyDescent="0.3"/>
    <row r="1053" ht="12.75" customHeight="1" x14ac:dyDescent="0.3"/>
    <row r="1054" ht="12.75" customHeight="1" x14ac:dyDescent="0.3"/>
    <row r="1055" ht="12.75" customHeight="1" x14ac:dyDescent="0.3"/>
    <row r="1056" ht="12.75" customHeight="1" x14ac:dyDescent="0.3"/>
    <row r="1057" ht="12.75" customHeight="1" x14ac:dyDescent="0.3"/>
    <row r="1058" ht="12.75" customHeight="1" x14ac:dyDescent="0.3"/>
    <row r="1059" ht="12.75" customHeight="1" x14ac:dyDescent="0.3"/>
    <row r="1060" ht="12.75" customHeight="1" x14ac:dyDescent="0.3"/>
    <row r="1061" ht="12.75" customHeight="1" x14ac:dyDescent="0.3"/>
    <row r="1062" ht="12.75" customHeight="1" x14ac:dyDescent="0.3"/>
    <row r="1063" ht="12.75" customHeight="1" x14ac:dyDescent="0.3"/>
    <row r="1064" ht="12.75" customHeight="1" x14ac:dyDescent="0.3"/>
    <row r="1065" ht="12.75" customHeight="1" x14ac:dyDescent="0.3"/>
    <row r="1066" ht="12.75" customHeight="1" x14ac:dyDescent="0.3"/>
    <row r="1067" ht="12.75" customHeight="1" x14ac:dyDescent="0.3"/>
    <row r="1068" ht="12.75" customHeight="1" x14ac:dyDescent="0.3"/>
    <row r="1069" ht="12.75" customHeight="1" x14ac:dyDescent="0.3"/>
    <row r="1070" ht="12.75" customHeight="1" x14ac:dyDescent="0.3"/>
    <row r="1071" ht="12.75" customHeight="1" x14ac:dyDescent="0.3"/>
    <row r="1072" ht="12.75" customHeight="1" x14ac:dyDescent="0.3"/>
    <row r="1073" ht="12.75" customHeight="1" x14ac:dyDescent="0.3"/>
    <row r="1074" ht="12.75" customHeight="1" x14ac:dyDescent="0.3"/>
    <row r="1075" ht="12.75" customHeight="1" x14ac:dyDescent="0.3"/>
    <row r="1076" ht="12.75" customHeight="1" x14ac:dyDescent="0.3"/>
    <row r="1077" ht="12.75" customHeight="1" x14ac:dyDescent="0.3"/>
    <row r="1078" ht="12.75" customHeight="1" x14ac:dyDescent="0.3"/>
    <row r="1079" ht="12.75" customHeight="1" x14ac:dyDescent="0.3"/>
    <row r="1080" ht="12.75" customHeight="1" x14ac:dyDescent="0.3"/>
    <row r="1081" ht="12.75" customHeight="1" x14ac:dyDescent="0.3"/>
    <row r="1082" ht="12.75" customHeight="1" x14ac:dyDescent="0.3"/>
    <row r="1083" ht="12.75" customHeight="1" x14ac:dyDescent="0.3"/>
    <row r="1084" ht="12.75" customHeight="1" x14ac:dyDescent="0.3"/>
    <row r="1085" ht="12.75" customHeight="1" x14ac:dyDescent="0.3"/>
    <row r="1086" ht="12.75" customHeight="1" x14ac:dyDescent="0.3"/>
    <row r="1087" ht="12.75" customHeight="1" x14ac:dyDescent="0.3"/>
    <row r="1088" ht="12.75" customHeight="1" x14ac:dyDescent="0.3"/>
    <row r="1089" ht="12.75" customHeight="1" x14ac:dyDescent="0.3"/>
    <row r="1090" ht="12.75" customHeight="1" x14ac:dyDescent="0.3"/>
    <row r="1091" ht="12.75" customHeight="1" x14ac:dyDescent="0.3"/>
    <row r="1092" ht="12.75" customHeight="1" x14ac:dyDescent="0.3"/>
    <row r="1093" ht="12.75" customHeight="1" x14ac:dyDescent="0.3"/>
    <row r="1094" ht="12.75" customHeight="1" x14ac:dyDescent="0.3"/>
    <row r="1095" ht="12.75" customHeight="1" x14ac:dyDescent="0.3"/>
    <row r="1096" ht="12.75" customHeight="1" x14ac:dyDescent="0.3"/>
    <row r="1097" ht="12.75" customHeight="1" x14ac:dyDescent="0.3"/>
    <row r="1098" ht="12.75" customHeight="1" x14ac:dyDescent="0.3"/>
    <row r="1099" ht="12.75" customHeight="1" x14ac:dyDescent="0.3"/>
    <row r="1100" ht="12.75" customHeight="1" x14ac:dyDescent="0.3"/>
    <row r="1101" ht="12.75" customHeight="1" x14ac:dyDescent="0.3"/>
    <row r="1102" ht="12.75" customHeight="1" x14ac:dyDescent="0.3"/>
    <row r="1103" ht="12.75" customHeight="1" x14ac:dyDescent="0.3"/>
    <row r="1104" ht="12.75" customHeight="1" x14ac:dyDescent="0.3"/>
    <row r="1105" ht="12.75" customHeight="1" x14ac:dyDescent="0.3"/>
    <row r="1106" ht="12.75" customHeight="1" x14ac:dyDescent="0.3"/>
    <row r="1107" ht="12.75" customHeight="1" x14ac:dyDescent="0.3"/>
    <row r="1108" ht="12.75" customHeight="1" x14ac:dyDescent="0.3"/>
    <row r="1109" ht="12.75" customHeight="1" x14ac:dyDescent="0.3"/>
    <row r="1110" ht="12.75" customHeight="1" x14ac:dyDescent="0.3"/>
    <row r="1111" ht="12.75" customHeight="1" x14ac:dyDescent="0.3"/>
    <row r="1112" ht="12.75" customHeight="1" x14ac:dyDescent="0.3"/>
    <row r="1113" ht="12.75" customHeight="1" x14ac:dyDescent="0.3"/>
    <row r="1114" ht="12.75" customHeight="1" x14ac:dyDescent="0.3"/>
    <row r="1115" ht="12.75" customHeight="1" x14ac:dyDescent="0.3"/>
    <row r="1116" ht="12.75" customHeight="1" x14ac:dyDescent="0.3"/>
    <row r="1117" ht="12.75" customHeight="1" x14ac:dyDescent="0.3"/>
    <row r="1118" ht="12.75" customHeight="1" x14ac:dyDescent="0.3"/>
    <row r="1119" ht="12.75" customHeight="1" x14ac:dyDescent="0.3"/>
    <row r="1120" ht="12.75" customHeight="1" x14ac:dyDescent="0.3"/>
    <row r="1121" ht="12.75" customHeight="1" x14ac:dyDescent="0.3"/>
    <row r="1122" ht="12.75" customHeight="1" x14ac:dyDescent="0.3"/>
    <row r="1123" ht="12.75" customHeight="1" x14ac:dyDescent="0.3"/>
    <row r="1124" ht="12.75" customHeight="1" x14ac:dyDescent="0.3"/>
    <row r="1125" ht="12.75" customHeight="1" x14ac:dyDescent="0.3"/>
    <row r="1126" ht="12.75" customHeight="1" x14ac:dyDescent="0.3"/>
    <row r="1127" ht="12.75" customHeight="1" x14ac:dyDescent="0.3"/>
    <row r="1128" ht="12.75" customHeight="1" x14ac:dyDescent="0.3"/>
    <row r="1129" ht="12.75" customHeight="1" x14ac:dyDescent="0.3"/>
    <row r="1130" ht="12.75" customHeight="1" x14ac:dyDescent="0.3"/>
    <row r="1131" ht="12.75" customHeight="1" x14ac:dyDescent="0.3"/>
    <row r="1132" ht="12.75" customHeight="1" x14ac:dyDescent="0.3"/>
    <row r="1133" ht="12.75" customHeight="1" x14ac:dyDescent="0.3"/>
    <row r="1134" ht="12.75" customHeight="1" x14ac:dyDescent="0.3"/>
    <row r="1135" ht="12.75" customHeight="1" x14ac:dyDescent="0.3"/>
    <row r="1136" ht="12.75" customHeight="1" x14ac:dyDescent="0.3"/>
    <row r="1137" ht="12.75" customHeight="1" x14ac:dyDescent="0.3"/>
    <row r="1138" ht="12.75" customHeight="1" x14ac:dyDescent="0.3"/>
    <row r="1139" ht="12.75" customHeight="1" x14ac:dyDescent="0.3"/>
    <row r="1140" ht="12.75" customHeight="1" x14ac:dyDescent="0.3"/>
    <row r="1141" ht="12.75" customHeight="1" x14ac:dyDescent="0.3"/>
    <row r="1142" ht="12.75" customHeight="1" x14ac:dyDescent="0.3"/>
    <row r="1143" ht="12.75" customHeight="1" x14ac:dyDescent="0.3"/>
    <row r="1144" ht="12.75" customHeight="1" x14ac:dyDescent="0.3"/>
    <row r="1145" ht="12.75" customHeight="1" x14ac:dyDescent="0.3"/>
    <row r="1146" ht="12.75" customHeight="1" x14ac:dyDescent="0.3"/>
    <row r="1147" ht="12.75" customHeight="1" x14ac:dyDescent="0.3"/>
    <row r="1148" ht="12.75" customHeight="1" x14ac:dyDescent="0.3"/>
    <row r="1149" ht="12.75" customHeight="1" x14ac:dyDescent="0.3"/>
    <row r="1150" ht="12.75" customHeight="1" x14ac:dyDescent="0.3"/>
    <row r="1151" ht="12.75" customHeight="1" x14ac:dyDescent="0.3"/>
    <row r="1152" ht="12.75" customHeight="1" x14ac:dyDescent="0.3"/>
    <row r="1153" ht="12.75" customHeight="1" x14ac:dyDescent="0.3"/>
    <row r="1154" ht="12.75" customHeight="1" x14ac:dyDescent="0.3"/>
    <row r="1155" ht="12.75" customHeight="1" x14ac:dyDescent="0.3"/>
    <row r="1156" ht="12.75" customHeight="1" x14ac:dyDescent="0.3"/>
    <row r="1157" ht="12.75" customHeight="1" x14ac:dyDescent="0.3"/>
    <row r="1158" ht="12.75" customHeight="1" x14ac:dyDescent="0.3"/>
    <row r="1159" ht="12.75" customHeight="1" x14ac:dyDescent="0.3"/>
    <row r="1160" ht="12.75" customHeight="1" x14ac:dyDescent="0.3"/>
    <row r="1161" ht="12.75" customHeight="1" x14ac:dyDescent="0.3"/>
    <row r="1162" ht="12.75" customHeight="1" x14ac:dyDescent="0.3"/>
    <row r="1163" ht="12.75" customHeight="1" x14ac:dyDescent="0.3"/>
    <row r="1164" ht="12.75" customHeight="1" x14ac:dyDescent="0.3"/>
    <row r="1165" ht="12.75" customHeight="1" x14ac:dyDescent="0.3"/>
    <row r="1166" ht="12.75" customHeight="1" x14ac:dyDescent="0.3"/>
    <row r="1167" ht="12.75" customHeight="1" x14ac:dyDescent="0.3"/>
    <row r="1168" ht="12.75" customHeight="1" x14ac:dyDescent="0.3"/>
  </sheetData>
  <mergeCells count="30">
    <mergeCell ref="AR60:AU60"/>
    <mergeCell ref="AR3:AU3"/>
    <mergeCell ref="R60:U60"/>
    <mergeCell ref="V60:Y60"/>
    <mergeCell ref="AZ3:BC3"/>
    <mergeCell ref="AJ3:AM3"/>
    <mergeCell ref="AN3:AQ3"/>
    <mergeCell ref="AV3:AY3"/>
    <mergeCell ref="AJ59:AM59"/>
    <mergeCell ref="AV60:AY60"/>
    <mergeCell ref="AZ60:BC60"/>
    <mergeCell ref="AA60:AA61"/>
    <mergeCell ref="AB60:AE60"/>
    <mergeCell ref="AF60:AI60"/>
    <mergeCell ref="AN60:AQ60"/>
    <mergeCell ref="A118:A119"/>
    <mergeCell ref="B118:D118"/>
    <mergeCell ref="E118:G118"/>
    <mergeCell ref="H118:J118"/>
    <mergeCell ref="K118:M118"/>
    <mergeCell ref="A60:A61"/>
    <mergeCell ref="B60:E60"/>
    <mergeCell ref="F60:I60"/>
    <mergeCell ref="J60:M60"/>
    <mergeCell ref="N60:Q60"/>
    <mergeCell ref="A175:A176"/>
    <mergeCell ref="B175:D175"/>
    <mergeCell ref="E175:G175"/>
    <mergeCell ref="H175:J175"/>
    <mergeCell ref="K175:M175"/>
  </mergeCells>
  <pageMargins left="0.70866141732283472" right="0.70866141732283472" top="0.74803149606299213" bottom="0.74803149606299213" header="0" footer="0"/>
  <pageSetup paperSize="9" scale="21" orientation="portrait" r:id="rId1"/>
  <rowBreaks count="1" manualBreakCount="1">
    <brk id="173" max="12" man="1"/>
  </rowBreaks>
  <colBreaks count="1" manualBreakCount="1">
    <brk id="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EF8E-DB3E-48DA-8F4E-DF5F6F34DD27}">
  <dimension ref="G10:G23"/>
  <sheetViews>
    <sheetView workbookViewId="0">
      <selection activeCell="G13" sqref="G13"/>
    </sheetView>
  </sheetViews>
  <sheetFormatPr defaultRowHeight="14.4" x14ac:dyDescent="0.3"/>
  <cols>
    <col min="7" max="7" width="19.88671875" customWidth="1"/>
  </cols>
  <sheetData>
    <row r="10" spans="7:7" x14ac:dyDescent="0.3">
      <c r="G10">
        <v>747007.7</v>
      </c>
    </row>
    <row r="11" spans="7:7" x14ac:dyDescent="0.3">
      <c r="G11">
        <v>648042.75</v>
      </c>
    </row>
    <row r="13" spans="7:7" x14ac:dyDescent="0.3">
      <c r="G13">
        <f>G10-G11</f>
        <v>98964.949999999953</v>
      </c>
    </row>
    <row r="17" spans="7:7" x14ac:dyDescent="0.3">
      <c r="G17" s="123">
        <v>10090569.99</v>
      </c>
    </row>
    <row r="19" spans="7:7" x14ac:dyDescent="0.3">
      <c r="G19">
        <v>10091492.159999998</v>
      </c>
    </row>
    <row r="23" spans="7:7" x14ac:dyDescent="0.3">
      <c r="G23" s="123">
        <f>G17-G19</f>
        <v>-922.16999999806285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view="pageBreakPreview" zoomScaleNormal="100" zoomScaleSheetLayoutView="100" workbookViewId="0">
      <selection activeCell="D2" sqref="D2"/>
    </sheetView>
  </sheetViews>
  <sheetFormatPr defaultColWidth="14.33203125" defaultRowHeight="15" customHeight="1" x14ac:dyDescent="0.3"/>
  <cols>
    <col min="1" max="16384" width="14.33203125" style="68"/>
  </cols>
  <sheetData>
    <row r="1" spans="1:26" thickBot="1" x14ac:dyDescent="0.35">
      <c r="A1" s="66"/>
      <c r="B1" s="67" t="s">
        <v>68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77</v>
      </c>
      <c r="I1" s="67" t="s">
        <v>78</v>
      </c>
      <c r="J1" s="67" t="s">
        <v>79</v>
      </c>
      <c r="K1" s="67" t="s">
        <v>80</v>
      </c>
      <c r="L1" s="67" t="s">
        <v>81</v>
      </c>
      <c r="M1" s="67" t="s">
        <v>82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34.799999999999997" x14ac:dyDescent="0.3">
      <c r="A2" s="4" t="s">
        <v>17</v>
      </c>
      <c r="B2" s="69">
        <f>'Sales budget performance manage'!B58</f>
        <v>15640000</v>
      </c>
      <c r="C2" s="69">
        <f>'Sales budget performance manage'!F58</f>
        <v>25990000</v>
      </c>
      <c r="D2" s="69">
        <f>'Sales budget performance manage'!J58</f>
        <v>25180000</v>
      </c>
      <c r="E2" s="69">
        <f>'Sales budget performance manage'!N58</f>
        <v>25180000</v>
      </c>
      <c r="F2" s="69">
        <f>'Sales budget performance manage'!R58</f>
        <v>25600000</v>
      </c>
      <c r="G2" s="69">
        <f>'Sales budget performance manage'!V58</f>
        <v>25400000</v>
      </c>
      <c r="H2" s="69">
        <f>'Sales budget performance manage'!AB58</f>
        <v>25500000</v>
      </c>
      <c r="I2" s="69">
        <f>'Sales budget performance manage'!AF58</f>
        <v>13500000</v>
      </c>
      <c r="J2" s="69">
        <f>'Sales budget performance manage'!AJ58</f>
        <v>25500000</v>
      </c>
      <c r="K2" s="69">
        <f>'Sales budget performance manage'!AN58</f>
        <v>13500000</v>
      </c>
      <c r="L2" s="69">
        <f>'Sales budget performance manage'!AR58</f>
        <v>13500000</v>
      </c>
      <c r="M2" s="69">
        <f>'Sales budget performance manage'!AV58</f>
        <v>13500000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4.4" x14ac:dyDescent="0.3">
      <c r="A3" s="70" t="s">
        <v>14</v>
      </c>
      <c r="B3" s="69">
        <f>'Sales budget performance manage'!C58</f>
        <v>12130439.789999999</v>
      </c>
      <c r="C3" s="69">
        <f>'Sales budget performance manage'!G58</f>
        <v>10090569.989999998</v>
      </c>
      <c r="D3" s="69">
        <f>'Sales budget performance manage'!K58</f>
        <v>13632078.249999998</v>
      </c>
      <c r="E3" s="69">
        <f>'Sales budget performance manage'!O58</f>
        <v>11152308.920300003</v>
      </c>
      <c r="F3" s="69">
        <f>'Sales budget performance manage'!S58</f>
        <v>10607222.68</v>
      </c>
      <c r="G3" s="69">
        <f>'Sales budget performance manage'!W58</f>
        <v>10052977.390000002</v>
      </c>
      <c r="H3" s="69">
        <f>'Sales budget performance manage'!AC58</f>
        <v>14612261.290000001</v>
      </c>
      <c r="I3" s="69">
        <f>'Sales budget performance manage'!AG58</f>
        <v>14276664.816150002</v>
      </c>
      <c r="J3" s="69">
        <f>'Sales budget performance manage'!AK58</f>
        <v>18239859.98</v>
      </c>
      <c r="K3" s="69">
        <f>'Sales budget performance manage'!AO58</f>
        <v>14980000</v>
      </c>
      <c r="L3" s="69">
        <f>'Sales budget performance manage'!AS58</f>
        <v>16680000</v>
      </c>
      <c r="M3" s="69">
        <f>'Sales budget performance manage'!AW58</f>
        <v>18380000</v>
      </c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4.4" x14ac:dyDescent="0.3">
      <c r="A4" s="71" t="s">
        <v>83</v>
      </c>
      <c r="B4" s="69">
        <f>'Sales budget performance manage'!D58</f>
        <v>12061304.150000002</v>
      </c>
      <c r="C4" s="69">
        <f>'Sales budget performance manage'!H58</f>
        <v>10090569.989999998</v>
      </c>
      <c r="D4" s="69">
        <f>'Sales budget performance manage'!L58</f>
        <v>13632078.249999998</v>
      </c>
      <c r="E4" s="69">
        <f>'Sales budget performance manage'!P58</f>
        <v>11190028.820300004</v>
      </c>
      <c r="F4" s="69">
        <f>'Sales budget performance manage'!T58</f>
        <v>10389285.170000002</v>
      </c>
      <c r="G4" s="69">
        <f>'Sales budget performance manage'!X58</f>
        <v>9942527.6400000006</v>
      </c>
      <c r="H4" s="69">
        <f>'Sales budget performance manage'!AD58</f>
        <v>14480068.790000001</v>
      </c>
      <c r="I4" s="69">
        <f>'Sales budget performance manage'!AH58</f>
        <v>14377580.046150003</v>
      </c>
      <c r="J4" s="69">
        <f>'Sales budget performance manage'!AL58</f>
        <v>11810487.760000002</v>
      </c>
      <c r="K4" s="69">
        <f>'Sales budget performance manage'!AP58</f>
        <v>0</v>
      </c>
      <c r="L4" s="69">
        <f>'Sales budget performance manage'!AT58</f>
        <v>0</v>
      </c>
      <c r="M4" s="69">
        <f>[1]ตามลูกค้า!H6</f>
        <v>0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4.4" x14ac:dyDescent="0.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4.4" x14ac:dyDescent="0.3">
      <c r="A6" s="66"/>
      <c r="B6" s="67" t="s">
        <v>68</v>
      </c>
      <c r="C6" s="67" t="s">
        <v>2</v>
      </c>
      <c r="D6" s="67" t="s">
        <v>3</v>
      </c>
      <c r="E6" s="67" t="s">
        <v>4</v>
      </c>
      <c r="F6" s="67" t="s">
        <v>5</v>
      </c>
      <c r="G6" s="67" t="s">
        <v>6</v>
      </c>
      <c r="H6" s="67" t="s">
        <v>77</v>
      </c>
      <c r="I6" s="67" t="s">
        <v>78</v>
      </c>
      <c r="J6" s="67" t="s">
        <v>79</v>
      </c>
      <c r="K6" s="67" t="s">
        <v>80</v>
      </c>
      <c r="L6" s="67" t="s">
        <v>81</v>
      </c>
      <c r="M6" s="67" t="s">
        <v>82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4.4" x14ac:dyDescent="0.3">
      <c r="A7" s="70">
        <v>2022</v>
      </c>
      <c r="B7" s="69">
        <f>'Sales budget performance manage'!B115</f>
        <v>13199304.800000001</v>
      </c>
      <c r="C7" s="69">
        <f>'Sales budget performance manage'!F115</f>
        <v>9795300</v>
      </c>
      <c r="D7" s="69">
        <f>'Sales budget performance manage'!J115</f>
        <v>11183394.119999999</v>
      </c>
      <c r="E7" s="69">
        <f>'Sales budget performance manage'!N115</f>
        <v>9996674.9000000004</v>
      </c>
      <c r="F7" s="69">
        <f>'Sales budget performance manage'!R115</f>
        <v>9303905.9704049956</v>
      </c>
      <c r="G7" s="69">
        <f>'Sales budget performance manage'!V115</f>
        <v>7200000</v>
      </c>
      <c r="H7" s="69">
        <f>'Sales budget performance manage'!AB115</f>
        <v>8709838.7902000006</v>
      </c>
      <c r="I7" s="69">
        <f>'Sales budget performance manage'!AF115</f>
        <v>8628338.1400000006</v>
      </c>
      <c r="J7" s="69">
        <f>'Sales budget performance manage'!AJ115</f>
        <v>6950153.580000001</v>
      </c>
      <c r="K7" s="69">
        <f>'Sales budget performance manage'!AN115</f>
        <v>9542319.4625599999</v>
      </c>
      <c r="L7" s="69">
        <f>'Sales budget performance manage'!AR115</f>
        <v>10043060.199999999</v>
      </c>
      <c r="M7" s="69">
        <f>'Sales budget performance manage'!AV115</f>
        <v>15019156.309999999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4.4" x14ac:dyDescent="0.3">
      <c r="A8" s="70">
        <v>2023</v>
      </c>
      <c r="B8" s="69">
        <f>'Sales budget performance manage'!C115</f>
        <v>14495239.694540998</v>
      </c>
      <c r="C8" s="69">
        <f>'Sales budget performance manage'!G115</f>
        <v>11085875.729969997</v>
      </c>
      <c r="D8" s="69">
        <f>'Sales budget performance manage'!K115</f>
        <v>9097799</v>
      </c>
      <c r="E8" s="69">
        <f>'Sales budget performance manage'!O115</f>
        <v>7373087.6156680025</v>
      </c>
      <c r="F8" s="69">
        <f>'Sales budget performance manage'!S115</f>
        <v>8248722.8399999999</v>
      </c>
      <c r="G8" s="69">
        <f>'Sales budget performance manage'!W115</f>
        <v>7040987.7945399983</v>
      </c>
      <c r="H8" s="69">
        <f>'Sales budget performance manage'!AC115</f>
        <v>9345568.5299999993</v>
      </c>
      <c r="I8" s="69">
        <f>'Sales budget performance manage'!AG115</f>
        <v>9678161.9399999995</v>
      </c>
      <c r="J8" s="69">
        <f>'Sales budget performance manage'!AK115</f>
        <v>8277601.8899999997</v>
      </c>
      <c r="K8" s="69">
        <f>'Sales budget performance manage'!AO115</f>
        <v>9496855.2047999986</v>
      </c>
      <c r="L8" s="69">
        <f>'Sales budget performance manage'!AS115</f>
        <v>9838693</v>
      </c>
      <c r="M8" s="69">
        <f>'Sales budget performance manage'!AW115</f>
        <v>15341310.369999999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4.4" x14ac:dyDescent="0.3">
      <c r="A9" s="70">
        <v>2024</v>
      </c>
      <c r="B9" s="69">
        <f>'Sales budget performance manage'!D115</f>
        <v>12061304.150000002</v>
      </c>
      <c r="C9" s="69">
        <f>'Sales budget performance manage'!H115</f>
        <v>10090569.989999998</v>
      </c>
      <c r="D9" s="69">
        <f>'Sales budget performance manage'!L115</f>
        <v>12984035.499999998</v>
      </c>
      <c r="E9" s="69">
        <f>'Sales budget performance manage'!P115</f>
        <v>11190028.820300004</v>
      </c>
      <c r="F9" s="69">
        <f>'Sales budget performance manage'!T115</f>
        <v>10259657.170000002</v>
      </c>
      <c r="G9" s="69">
        <f>'Sales budget performance manage'!X115</f>
        <v>9942527.6400000006</v>
      </c>
      <c r="H9" s="69">
        <f>'Sales budget performance manage'!AD115</f>
        <v>14480068.790000001</v>
      </c>
      <c r="I9" s="69">
        <f>'Sales budget performance manage'!AH115</f>
        <v>14377580.046150003</v>
      </c>
      <c r="J9" s="69">
        <f>'Sales budget performance manage'!AL115</f>
        <v>11810487.760000002</v>
      </c>
      <c r="K9" s="69">
        <f>'Sales budget performance manage'!AP115</f>
        <v>0</v>
      </c>
      <c r="L9" s="69">
        <f>'Sales budget performance manage'!AT115</f>
        <v>0</v>
      </c>
      <c r="M9" s="69">
        <f>'Sales budget performance manage'!AX115</f>
        <v>0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4.4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4.4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4.4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4.4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4.4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4.4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4.4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4.4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4.4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4.4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4.4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4.4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4.4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4.4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4.4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4.4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4.4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4.4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4.4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4.4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4.4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4.4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4.4" x14ac:dyDescent="0.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4.4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4.4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4.4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4.4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4.4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4.4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4.4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4.4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4.4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4.4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4.4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4.4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4.4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4.4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4.4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4.4" x14ac:dyDescent="0.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4.4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4.4" x14ac:dyDescent="0.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4.4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4.4" x14ac:dyDescent="0.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4.4" x14ac:dyDescent="0.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4.4" x14ac:dyDescent="0.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4.4" x14ac:dyDescent="0.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4.4" x14ac:dyDescent="0.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4.4" x14ac:dyDescent="0.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4.4" x14ac:dyDescent="0.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4.4" x14ac:dyDescent="0.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4.4" x14ac:dyDescent="0.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4.4" x14ac:dyDescent="0.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4.4" x14ac:dyDescent="0.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4.4" x14ac:dyDescent="0.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4.4" x14ac:dyDescent="0.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4.4" x14ac:dyDescent="0.3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4.4" x14ac:dyDescent="0.3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4.4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4.4" x14ac:dyDescent="0.3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4.4" x14ac:dyDescent="0.3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4.4" x14ac:dyDescent="0.3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4.4" x14ac:dyDescent="0.3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4.4" x14ac:dyDescent="0.3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4.4" x14ac:dyDescent="0.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4.4" x14ac:dyDescent="0.3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4.4" x14ac:dyDescent="0.3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4.4" x14ac:dyDescent="0.3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4.4" x14ac:dyDescent="0.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4.4" x14ac:dyDescent="0.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4.4" x14ac:dyDescent="0.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4.4" x14ac:dyDescent="0.3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4.4" x14ac:dyDescent="0.3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4.4" x14ac:dyDescent="0.3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4.4" x14ac:dyDescent="0.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4.4" x14ac:dyDescent="0.3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4.4" x14ac:dyDescent="0.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4.4" x14ac:dyDescent="0.3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4.4" x14ac:dyDescent="0.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4.4" x14ac:dyDescent="0.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4.4" x14ac:dyDescent="0.3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4.4" x14ac:dyDescent="0.3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4.4" x14ac:dyDescent="0.3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4.4" x14ac:dyDescent="0.3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4.4" x14ac:dyDescent="0.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4.4" x14ac:dyDescent="0.3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4.4" x14ac:dyDescent="0.3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4.4" x14ac:dyDescent="0.3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4.4" x14ac:dyDescent="0.3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4.4" x14ac:dyDescent="0.3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4.4" x14ac:dyDescent="0.3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4.4" x14ac:dyDescent="0.3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4.4" x14ac:dyDescent="0.3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4.4" x14ac:dyDescent="0.3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4.4" x14ac:dyDescent="0.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4.4" x14ac:dyDescent="0.3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4.4" x14ac:dyDescent="0.3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4.4" x14ac:dyDescent="0.3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4.4" x14ac:dyDescent="0.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4.4" x14ac:dyDescent="0.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4.4" x14ac:dyDescent="0.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4.4" x14ac:dyDescent="0.3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4.4" x14ac:dyDescent="0.3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4.4" x14ac:dyDescent="0.3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4.4" x14ac:dyDescent="0.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4.4" x14ac:dyDescent="0.3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4.4" x14ac:dyDescent="0.3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4.4" x14ac:dyDescent="0.3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4.4" x14ac:dyDescent="0.3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4.4" x14ac:dyDescent="0.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4.4" x14ac:dyDescent="0.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4.4" x14ac:dyDescent="0.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4.4" x14ac:dyDescent="0.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4.4" x14ac:dyDescent="0.3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4.4" x14ac:dyDescent="0.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4.4" x14ac:dyDescent="0.3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4.4" x14ac:dyDescent="0.3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4.4" x14ac:dyDescent="0.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4.4" x14ac:dyDescent="0.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4.4" x14ac:dyDescent="0.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4.4" x14ac:dyDescent="0.3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4.4" x14ac:dyDescent="0.3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4.4" x14ac:dyDescent="0.3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4.4" x14ac:dyDescent="0.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4.4" x14ac:dyDescent="0.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4.4" x14ac:dyDescent="0.3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4.4" x14ac:dyDescent="0.3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4.4" x14ac:dyDescent="0.3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4.4" x14ac:dyDescent="0.3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4.4" x14ac:dyDescent="0.3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4.4" x14ac:dyDescent="0.3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4.4" x14ac:dyDescent="0.3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4.4" x14ac:dyDescent="0.3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4.4" x14ac:dyDescent="0.3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4.4" x14ac:dyDescent="0.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4.4" x14ac:dyDescent="0.3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4.4" x14ac:dyDescent="0.3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4.4" x14ac:dyDescent="0.3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4.4" x14ac:dyDescent="0.3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4.4" x14ac:dyDescent="0.3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4.4" x14ac:dyDescent="0.3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4.4" x14ac:dyDescent="0.3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4.4" x14ac:dyDescent="0.3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4.4" x14ac:dyDescent="0.3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4.4" x14ac:dyDescent="0.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4.4" x14ac:dyDescent="0.3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4.4" x14ac:dyDescent="0.3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4.4" x14ac:dyDescent="0.3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4.4" x14ac:dyDescent="0.3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4.4" x14ac:dyDescent="0.3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4.4" x14ac:dyDescent="0.3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4.4" x14ac:dyDescent="0.3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4.4" x14ac:dyDescent="0.3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4.4" x14ac:dyDescent="0.3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4.4" x14ac:dyDescent="0.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4.4" x14ac:dyDescent="0.3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4.4" x14ac:dyDescent="0.3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4.4" x14ac:dyDescent="0.3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4.4" x14ac:dyDescent="0.3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4.4" x14ac:dyDescent="0.3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4.4" x14ac:dyDescent="0.3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4.4" x14ac:dyDescent="0.3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4.4" x14ac:dyDescent="0.3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4.4" x14ac:dyDescent="0.3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4.4" x14ac:dyDescent="0.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4.4" x14ac:dyDescent="0.3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4.4" x14ac:dyDescent="0.3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4.4" x14ac:dyDescent="0.3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4.4" x14ac:dyDescent="0.3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4.4" x14ac:dyDescent="0.3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4.4" x14ac:dyDescent="0.3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4.4" x14ac:dyDescent="0.3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4.4" x14ac:dyDescent="0.3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4.4" x14ac:dyDescent="0.3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4.4" x14ac:dyDescent="0.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4.4" x14ac:dyDescent="0.3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4.4" x14ac:dyDescent="0.3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4.4" x14ac:dyDescent="0.3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4.4" x14ac:dyDescent="0.3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4.4" x14ac:dyDescent="0.3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4.4" x14ac:dyDescent="0.3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4.4" x14ac:dyDescent="0.3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4.4" x14ac:dyDescent="0.3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4.4" x14ac:dyDescent="0.3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4.4" x14ac:dyDescent="0.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4.4" x14ac:dyDescent="0.3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4.4" x14ac:dyDescent="0.3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4.4" x14ac:dyDescent="0.3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4.4" x14ac:dyDescent="0.3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4.4" x14ac:dyDescent="0.3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4.4" x14ac:dyDescent="0.3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4.4" x14ac:dyDescent="0.3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4.4" x14ac:dyDescent="0.3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4.4" x14ac:dyDescent="0.3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4.4" x14ac:dyDescent="0.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4.4" x14ac:dyDescent="0.3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4.4" x14ac:dyDescent="0.3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4.4" x14ac:dyDescent="0.3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4.4" x14ac:dyDescent="0.3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4.4" x14ac:dyDescent="0.3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4.4" x14ac:dyDescent="0.3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4.4" x14ac:dyDescent="0.3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4.4" x14ac:dyDescent="0.3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4.4" x14ac:dyDescent="0.3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4.4" x14ac:dyDescent="0.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4.4" x14ac:dyDescent="0.3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4.4" x14ac:dyDescent="0.3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4.4" x14ac:dyDescent="0.3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4.4" x14ac:dyDescent="0.3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4.4" x14ac:dyDescent="0.3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4.4" x14ac:dyDescent="0.3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4.4" x14ac:dyDescent="0.3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4.4" x14ac:dyDescent="0.3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4.4" x14ac:dyDescent="0.3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4.4" x14ac:dyDescent="0.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4.4" x14ac:dyDescent="0.3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4.4" x14ac:dyDescent="0.3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4.4" x14ac:dyDescent="0.3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4.4" x14ac:dyDescent="0.3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4.4" x14ac:dyDescent="0.3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4.4" x14ac:dyDescent="0.3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4.4" x14ac:dyDescent="0.3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4.4" x14ac:dyDescent="0.3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4.4" x14ac:dyDescent="0.3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4.4" x14ac:dyDescent="0.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4.4" x14ac:dyDescent="0.3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4.4" x14ac:dyDescent="0.3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4.4" x14ac:dyDescent="0.3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4.4" x14ac:dyDescent="0.3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4.4" x14ac:dyDescent="0.3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4.4" x14ac:dyDescent="0.3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4.4" x14ac:dyDescent="0.3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4.4" x14ac:dyDescent="0.3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4.4" x14ac:dyDescent="0.3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4.4" x14ac:dyDescent="0.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4.4" x14ac:dyDescent="0.3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4.4" x14ac:dyDescent="0.3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4.4" x14ac:dyDescent="0.3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4.4" x14ac:dyDescent="0.3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4.4" x14ac:dyDescent="0.3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4.4" x14ac:dyDescent="0.3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4.4" x14ac:dyDescent="0.3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4.4" x14ac:dyDescent="0.3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4.4" x14ac:dyDescent="0.3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4.4" x14ac:dyDescent="0.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4.4" x14ac:dyDescent="0.3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4.4" x14ac:dyDescent="0.3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4.4" x14ac:dyDescent="0.3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4.4" x14ac:dyDescent="0.3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4.4" x14ac:dyDescent="0.3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4.4" x14ac:dyDescent="0.3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4.4" x14ac:dyDescent="0.3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4.4" x14ac:dyDescent="0.3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4.4" x14ac:dyDescent="0.3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4.4" x14ac:dyDescent="0.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4.4" x14ac:dyDescent="0.3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4.4" x14ac:dyDescent="0.3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4.4" x14ac:dyDescent="0.3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4.4" x14ac:dyDescent="0.3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4.4" x14ac:dyDescent="0.3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4.4" x14ac:dyDescent="0.3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4.4" x14ac:dyDescent="0.3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4.4" x14ac:dyDescent="0.3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4.4" x14ac:dyDescent="0.3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4.4" x14ac:dyDescent="0.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4.4" x14ac:dyDescent="0.3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4.4" x14ac:dyDescent="0.3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4.4" x14ac:dyDescent="0.3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4.4" x14ac:dyDescent="0.3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4.4" x14ac:dyDescent="0.3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4.4" x14ac:dyDescent="0.3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4.4" x14ac:dyDescent="0.3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4.4" x14ac:dyDescent="0.3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4.4" x14ac:dyDescent="0.3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4.4" x14ac:dyDescent="0.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4.4" x14ac:dyDescent="0.3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4.4" x14ac:dyDescent="0.3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4.4" x14ac:dyDescent="0.3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4.4" x14ac:dyDescent="0.3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4.4" x14ac:dyDescent="0.3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4.4" x14ac:dyDescent="0.3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4.4" x14ac:dyDescent="0.3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4.4" x14ac:dyDescent="0.3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4.4" x14ac:dyDescent="0.3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4.4" x14ac:dyDescent="0.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4.4" x14ac:dyDescent="0.3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4.4" x14ac:dyDescent="0.3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4.4" x14ac:dyDescent="0.3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4.4" x14ac:dyDescent="0.3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4.4" x14ac:dyDescent="0.3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4.4" x14ac:dyDescent="0.3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4.4" x14ac:dyDescent="0.3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4.4" x14ac:dyDescent="0.3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4.4" x14ac:dyDescent="0.3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4.4" x14ac:dyDescent="0.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4.4" x14ac:dyDescent="0.3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4.4" x14ac:dyDescent="0.3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4.4" x14ac:dyDescent="0.3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4.4" x14ac:dyDescent="0.3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4.4" x14ac:dyDescent="0.3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4.4" x14ac:dyDescent="0.3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4.4" x14ac:dyDescent="0.3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4.4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4.4" x14ac:dyDescent="0.3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4.4" x14ac:dyDescent="0.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4.4" x14ac:dyDescent="0.3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4.4" x14ac:dyDescent="0.3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4.4" x14ac:dyDescent="0.3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4.4" x14ac:dyDescent="0.3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4.4" x14ac:dyDescent="0.3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4.4" x14ac:dyDescent="0.3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4.4" x14ac:dyDescent="0.3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4.4" x14ac:dyDescent="0.3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4.4" x14ac:dyDescent="0.3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4.4" x14ac:dyDescent="0.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4.4" x14ac:dyDescent="0.3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4.4" x14ac:dyDescent="0.3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4.4" x14ac:dyDescent="0.3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4.4" x14ac:dyDescent="0.3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4.4" x14ac:dyDescent="0.3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4.4" x14ac:dyDescent="0.3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4.4" x14ac:dyDescent="0.3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4.4" x14ac:dyDescent="0.3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4.4" x14ac:dyDescent="0.3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4.4" x14ac:dyDescent="0.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4.4" x14ac:dyDescent="0.3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4.4" x14ac:dyDescent="0.3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4.4" x14ac:dyDescent="0.3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4.4" x14ac:dyDescent="0.3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4.4" x14ac:dyDescent="0.3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4.4" x14ac:dyDescent="0.3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4.4" x14ac:dyDescent="0.3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4.4" x14ac:dyDescent="0.3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4.4" x14ac:dyDescent="0.3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4.4" x14ac:dyDescent="0.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4.4" x14ac:dyDescent="0.3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4.4" x14ac:dyDescent="0.3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4.4" x14ac:dyDescent="0.3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4.4" x14ac:dyDescent="0.3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4.4" x14ac:dyDescent="0.3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4.4" x14ac:dyDescent="0.3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4.4" x14ac:dyDescent="0.3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4.4" x14ac:dyDescent="0.3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4.4" x14ac:dyDescent="0.3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4.4" x14ac:dyDescent="0.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4.4" x14ac:dyDescent="0.3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4.4" x14ac:dyDescent="0.3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4.4" x14ac:dyDescent="0.3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4.4" x14ac:dyDescent="0.3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4.4" x14ac:dyDescent="0.3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4.4" x14ac:dyDescent="0.3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4.4" x14ac:dyDescent="0.3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4.4" x14ac:dyDescent="0.3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4.4" x14ac:dyDescent="0.3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4.4" x14ac:dyDescent="0.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4.4" x14ac:dyDescent="0.3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4.4" x14ac:dyDescent="0.3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4.4" x14ac:dyDescent="0.3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4.4" x14ac:dyDescent="0.3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4.4" x14ac:dyDescent="0.3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4.4" x14ac:dyDescent="0.3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4.4" x14ac:dyDescent="0.3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4.4" x14ac:dyDescent="0.3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4.4" x14ac:dyDescent="0.3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4.4" x14ac:dyDescent="0.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4.4" x14ac:dyDescent="0.3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4.4" x14ac:dyDescent="0.3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4.4" x14ac:dyDescent="0.3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4.4" x14ac:dyDescent="0.3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4.4" x14ac:dyDescent="0.3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4.4" x14ac:dyDescent="0.3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4.4" x14ac:dyDescent="0.3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4.4" x14ac:dyDescent="0.3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4.4" x14ac:dyDescent="0.3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4.4" x14ac:dyDescent="0.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4.4" x14ac:dyDescent="0.3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4.4" x14ac:dyDescent="0.3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4.4" x14ac:dyDescent="0.3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4.4" x14ac:dyDescent="0.3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4.4" x14ac:dyDescent="0.3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4.4" x14ac:dyDescent="0.3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4.4" x14ac:dyDescent="0.3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4.4" x14ac:dyDescent="0.3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4.4" x14ac:dyDescent="0.3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4.4" x14ac:dyDescent="0.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4.4" x14ac:dyDescent="0.3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4.4" x14ac:dyDescent="0.3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4.4" x14ac:dyDescent="0.3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4.4" x14ac:dyDescent="0.3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4.4" x14ac:dyDescent="0.3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4.4" x14ac:dyDescent="0.3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4.4" x14ac:dyDescent="0.3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4.4" x14ac:dyDescent="0.3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4.4" x14ac:dyDescent="0.3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4.4" x14ac:dyDescent="0.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4.4" x14ac:dyDescent="0.3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4.4" x14ac:dyDescent="0.3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4.4" x14ac:dyDescent="0.3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4.4" x14ac:dyDescent="0.3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4.4" x14ac:dyDescent="0.3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4.4" x14ac:dyDescent="0.3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4.4" x14ac:dyDescent="0.3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4.4" x14ac:dyDescent="0.3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4.4" x14ac:dyDescent="0.3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4.4" x14ac:dyDescent="0.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4.4" x14ac:dyDescent="0.3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4.4" x14ac:dyDescent="0.3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4.4" x14ac:dyDescent="0.3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4.4" x14ac:dyDescent="0.3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4.4" x14ac:dyDescent="0.3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4.4" x14ac:dyDescent="0.3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4.4" x14ac:dyDescent="0.3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4.4" x14ac:dyDescent="0.3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4.4" x14ac:dyDescent="0.3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4.4" x14ac:dyDescent="0.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4.4" x14ac:dyDescent="0.3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4.4" x14ac:dyDescent="0.3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4.4" x14ac:dyDescent="0.3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4.4" x14ac:dyDescent="0.3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4.4" x14ac:dyDescent="0.3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4.4" x14ac:dyDescent="0.3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4.4" x14ac:dyDescent="0.3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4.4" x14ac:dyDescent="0.3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4.4" x14ac:dyDescent="0.3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4.4" x14ac:dyDescent="0.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4.4" x14ac:dyDescent="0.3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4.4" x14ac:dyDescent="0.3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4.4" x14ac:dyDescent="0.3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4.4" x14ac:dyDescent="0.3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4.4" x14ac:dyDescent="0.3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4.4" x14ac:dyDescent="0.3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4.4" x14ac:dyDescent="0.3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4.4" x14ac:dyDescent="0.3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4.4" x14ac:dyDescent="0.3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4.4" x14ac:dyDescent="0.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4.4" x14ac:dyDescent="0.3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4.4" x14ac:dyDescent="0.3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4.4" x14ac:dyDescent="0.3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4.4" x14ac:dyDescent="0.3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4.4" x14ac:dyDescent="0.3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4.4" x14ac:dyDescent="0.3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4.4" x14ac:dyDescent="0.3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4.4" x14ac:dyDescent="0.3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4.4" x14ac:dyDescent="0.3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4.4" x14ac:dyDescent="0.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4.4" x14ac:dyDescent="0.3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4.4" x14ac:dyDescent="0.3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4.4" x14ac:dyDescent="0.3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4.4" x14ac:dyDescent="0.3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4.4" x14ac:dyDescent="0.3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4.4" x14ac:dyDescent="0.3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4.4" x14ac:dyDescent="0.3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4.4" x14ac:dyDescent="0.3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4.4" x14ac:dyDescent="0.3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4.4" x14ac:dyDescent="0.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4.4" x14ac:dyDescent="0.3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4.4" x14ac:dyDescent="0.3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4.4" x14ac:dyDescent="0.3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4.4" x14ac:dyDescent="0.3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4.4" x14ac:dyDescent="0.3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4.4" x14ac:dyDescent="0.3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4.4" x14ac:dyDescent="0.3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4.4" x14ac:dyDescent="0.3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4.4" x14ac:dyDescent="0.3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4.4" x14ac:dyDescent="0.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4.4" x14ac:dyDescent="0.3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4.4" x14ac:dyDescent="0.3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4.4" x14ac:dyDescent="0.3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4.4" x14ac:dyDescent="0.3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4.4" x14ac:dyDescent="0.3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4.4" x14ac:dyDescent="0.3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4.4" x14ac:dyDescent="0.3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4.4" x14ac:dyDescent="0.3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4.4" x14ac:dyDescent="0.3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4.4" x14ac:dyDescent="0.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4.4" x14ac:dyDescent="0.3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4.4" x14ac:dyDescent="0.3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4.4" x14ac:dyDescent="0.3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4.4" x14ac:dyDescent="0.3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4.4" x14ac:dyDescent="0.3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4.4" x14ac:dyDescent="0.3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4.4" x14ac:dyDescent="0.3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4.4" x14ac:dyDescent="0.3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4.4" x14ac:dyDescent="0.3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4.4" x14ac:dyDescent="0.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4.4" x14ac:dyDescent="0.3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4.4" x14ac:dyDescent="0.3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4.4" x14ac:dyDescent="0.3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4.4" x14ac:dyDescent="0.3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4.4" x14ac:dyDescent="0.3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4.4" x14ac:dyDescent="0.3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4.4" x14ac:dyDescent="0.3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4.4" x14ac:dyDescent="0.3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4.4" x14ac:dyDescent="0.3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4.4" x14ac:dyDescent="0.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4.4" x14ac:dyDescent="0.3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4.4" x14ac:dyDescent="0.3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4.4" x14ac:dyDescent="0.3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4.4" x14ac:dyDescent="0.3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4.4" x14ac:dyDescent="0.3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4.4" x14ac:dyDescent="0.3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4.4" x14ac:dyDescent="0.3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4.4" x14ac:dyDescent="0.3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4.4" x14ac:dyDescent="0.3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4.4" x14ac:dyDescent="0.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4.4" x14ac:dyDescent="0.3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4.4" x14ac:dyDescent="0.3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4.4" x14ac:dyDescent="0.3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4.4" x14ac:dyDescent="0.3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4.4" x14ac:dyDescent="0.3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4.4" x14ac:dyDescent="0.3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4.4" x14ac:dyDescent="0.3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4.4" x14ac:dyDescent="0.3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4.4" x14ac:dyDescent="0.3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4.4" x14ac:dyDescent="0.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4.4" x14ac:dyDescent="0.3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4.4" x14ac:dyDescent="0.3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4.4" x14ac:dyDescent="0.3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4.4" x14ac:dyDescent="0.3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4.4" x14ac:dyDescent="0.3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4.4" x14ac:dyDescent="0.3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4.4" x14ac:dyDescent="0.3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4.4" x14ac:dyDescent="0.3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4.4" x14ac:dyDescent="0.3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4.4" x14ac:dyDescent="0.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4.4" x14ac:dyDescent="0.3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4.4" x14ac:dyDescent="0.3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4.4" x14ac:dyDescent="0.3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4.4" x14ac:dyDescent="0.3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4.4" x14ac:dyDescent="0.3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4.4" x14ac:dyDescent="0.3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4.4" x14ac:dyDescent="0.3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4.4" x14ac:dyDescent="0.3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4.4" x14ac:dyDescent="0.3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4.4" x14ac:dyDescent="0.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4.4" x14ac:dyDescent="0.3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4.4" x14ac:dyDescent="0.3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4.4" x14ac:dyDescent="0.3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4.4" x14ac:dyDescent="0.3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4.4" x14ac:dyDescent="0.3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4.4" x14ac:dyDescent="0.3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4.4" x14ac:dyDescent="0.3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4.4" x14ac:dyDescent="0.3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4.4" x14ac:dyDescent="0.3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4.4" x14ac:dyDescent="0.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4.4" x14ac:dyDescent="0.3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4.4" x14ac:dyDescent="0.3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4.4" x14ac:dyDescent="0.3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4.4" x14ac:dyDescent="0.3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4.4" x14ac:dyDescent="0.3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4.4" x14ac:dyDescent="0.3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4.4" x14ac:dyDescent="0.3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4.4" x14ac:dyDescent="0.3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4.4" x14ac:dyDescent="0.3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4.4" x14ac:dyDescent="0.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4.4" x14ac:dyDescent="0.3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4.4" x14ac:dyDescent="0.3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4.4" x14ac:dyDescent="0.3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4.4" x14ac:dyDescent="0.3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4.4" x14ac:dyDescent="0.3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4.4" x14ac:dyDescent="0.3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4.4" x14ac:dyDescent="0.3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4.4" x14ac:dyDescent="0.3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4.4" x14ac:dyDescent="0.3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4.4" x14ac:dyDescent="0.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4.4" x14ac:dyDescent="0.3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4.4" x14ac:dyDescent="0.3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4.4" x14ac:dyDescent="0.3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4.4" x14ac:dyDescent="0.3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4.4" x14ac:dyDescent="0.3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4.4" x14ac:dyDescent="0.3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4.4" x14ac:dyDescent="0.3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4.4" x14ac:dyDescent="0.3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4.4" x14ac:dyDescent="0.3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4.4" x14ac:dyDescent="0.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4.4" x14ac:dyDescent="0.3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4.4" x14ac:dyDescent="0.3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4.4" x14ac:dyDescent="0.3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4.4" x14ac:dyDescent="0.3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4.4" x14ac:dyDescent="0.3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4.4" x14ac:dyDescent="0.3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4.4" x14ac:dyDescent="0.3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4.4" x14ac:dyDescent="0.3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4.4" x14ac:dyDescent="0.3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4.4" x14ac:dyDescent="0.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4.4" x14ac:dyDescent="0.3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4.4" x14ac:dyDescent="0.3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4.4" x14ac:dyDescent="0.3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4.4" x14ac:dyDescent="0.3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4.4" x14ac:dyDescent="0.3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4.4" x14ac:dyDescent="0.3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4.4" x14ac:dyDescent="0.3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4.4" x14ac:dyDescent="0.3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4.4" x14ac:dyDescent="0.3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4.4" x14ac:dyDescent="0.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4.4" x14ac:dyDescent="0.3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4.4" x14ac:dyDescent="0.3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4.4" x14ac:dyDescent="0.3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4.4" x14ac:dyDescent="0.3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4.4" x14ac:dyDescent="0.3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4.4" x14ac:dyDescent="0.3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4.4" x14ac:dyDescent="0.3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4.4" x14ac:dyDescent="0.3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4.4" x14ac:dyDescent="0.3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4.4" x14ac:dyDescent="0.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4.4" x14ac:dyDescent="0.3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4.4" x14ac:dyDescent="0.3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4.4" x14ac:dyDescent="0.3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4.4" x14ac:dyDescent="0.3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4.4" x14ac:dyDescent="0.3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4.4" x14ac:dyDescent="0.3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4.4" x14ac:dyDescent="0.3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4.4" x14ac:dyDescent="0.3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4.4" x14ac:dyDescent="0.3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4.4" x14ac:dyDescent="0.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4.4" x14ac:dyDescent="0.3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4.4" x14ac:dyDescent="0.3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4.4" x14ac:dyDescent="0.3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4.4" x14ac:dyDescent="0.3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4.4" x14ac:dyDescent="0.3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4.4" x14ac:dyDescent="0.3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4.4" x14ac:dyDescent="0.3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4.4" x14ac:dyDescent="0.3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4.4" x14ac:dyDescent="0.3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4.4" x14ac:dyDescent="0.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4.4" x14ac:dyDescent="0.3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4.4" x14ac:dyDescent="0.3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4.4" x14ac:dyDescent="0.3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4.4" x14ac:dyDescent="0.3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4.4" x14ac:dyDescent="0.3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4.4" x14ac:dyDescent="0.3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4.4" x14ac:dyDescent="0.3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4.4" x14ac:dyDescent="0.3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4.4" x14ac:dyDescent="0.3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4.4" x14ac:dyDescent="0.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4.4" x14ac:dyDescent="0.3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4.4" x14ac:dyDescent="0.3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4.4" x14ac:dyDescent="0.3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4.4" x14ac:dyDescent="0.3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4.4" x14ac:dyDescent="0.3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4.4" x14ac:dyDescent="0.3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4.4" x14ac:dyDescent="0.3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4.4" x14ac:dyDescent="0.3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4.4" x14ac:dyDescent="0.3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4.4" x14ac:dyDescent="0.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4.4" x14ac:dyDescent="0.3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4.4" x14ac:dyDescent="0.3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4.4" x14ac:dyDescent="0.3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4.4" x14ac:dyDescent="0.3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4.4" x14ac:dyDescent="0.3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4.4" x14ac:dyDescent="0.3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4.4" x14ac:dyDescent="0.3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4.4" x14ac:dyDescent="0.3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4.4" x14ac:dyDescent="0.3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4.4" x14ac:dyDescent="0.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4.4" x14ac:dyDescent="0.3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4.4" x14ac:dyDescent="0.3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4.4" x14ac:dyDescent="0.3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4.4" x14ac:dyDescent="0.3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4.4" x14ac:dyDescent="0.3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4.4" x14ac:dyDescent="0.3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4.4" x14ac:dyDescent="0.3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4.4" x14ac:dyDescent="0.3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4.4" x14ac:dyDescent="0.3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4.4" x14ac:dyDescent="0.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4.4" x14ac:dyDescent="0.3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4.4" x14ac:dyDescent="0.3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4.4" x14ac:dyDescent="0.3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4.4" x14ac:dyDescent="0.3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4.4" x14ac:dyDescent="0.3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4.4" x14ac:dyDescent="0.3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4.4" x14ac:dyDescent="0.3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4.4" x14ac:dyDescent="0.3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4.4" x14ac:dyDescent="0.3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4.4" x14ac:dyDescent="0.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4.4" x14ac:dyDescent="0.3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4.4" x14ac:dyDescent="0.3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4.4" x14ac:dyDescent="0.3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4.4" x14ac:dyDescent="0.3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4.4" x14ac:dyDescent="0.3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4.4" x14ac:dyDescent="0.3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4.4" x14ac:dyDescent="0.3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4.4" x14ac:dyDescent="0.3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4.4" x14ac:dyDescent="0.3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4.4" x14ac:dyDescent="0.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4.4" x14ac:dyDescent="0.3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4.4" x14ac:dyDescent="0.3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4.4" x14ac:dyDescent="0.3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4.4" x14ac:dyDescent="0.3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4.4" x14ac:dyDescent="0.3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4.4" x14ac:dyDescent="0.3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4.4" x14ac:dyDescent="0.3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4.4" x14ac:dyDescent="0.3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4.4" x14ac:dyDescent="0.3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4.4" x14ac:dyDescent="0.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4.4" x14ac:dyDescent="0.3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4.4" x14ac:dyDescent="0.3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4.4" x14ac:dyDescent="0.3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4.4" x14ac:dyDescent="0.3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4.4" x14ac:dyDescent="0.3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4.4" x14ac:dyDescent="0.3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4.4" x14ac:dyDescent="0.3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4.4" x14ac:dyDescent="0.3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4.4" x14ac:dyDescent="0.3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4.4" x14ac:dyDescent="0.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4.4" x14ac:dyDescent="0.3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4.4" x14ac:dyDescent="0.3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4.4" x14ac:dyDescent="0.3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4.4" x14ac:dyDescent="0.3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4.4" x14ac:dyDescent="0.3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4.4" x14ac:dyDescent="0.3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4.4" x14ac:dyDescent="0.3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4.4" x14ac:dyDescent="0.3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4.4" x14ac:dyDescent="0.3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4.4" x14ac:dyDescent="0.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4.4" x14ac:dyDescent="0.3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4.4" x14ac:dyDescent="0.3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4.4" x14ac:dyDescent="0.3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4.4" x14ac:dyDescent="0.3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4.4" x14ac:dyDescent="0.3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4.4" x14ac:dyDescent="0.3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4.4" x14ac:dyDescent="0.3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4.4" x14ac:dyDescent="0.3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4.4" x14ac:dyDescent="0.3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4.4" x14ac:dyDescent="0.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4.4" x14ac:dyDescent="0.3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4.4" x14ac:dyDescent="0.3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4.4" x14ac:dyDescent="0.3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4.4" x14ac:dyDescent="0.3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4.4" x14ac:dyDescent="0.3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4.4" x14ac:dyDescent="0.3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4.4" x14ac:dyDescent="0.3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4.4" x14ac:dyDescent="0.3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4.4" x14ac:dyDescent="0.3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4.4" x14ac:dyDescent="0.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4.4" x14ac:dyDescent="0.3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4.4" x14ac:dyDescent="0.3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4.4" x14ac:dyDescent="0.3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4.4" x14ac:dyDescent="0.3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4.4" x14ac:dyDescent="0.3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4.4" x14ac:dyDescent="0.3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4.4" x14ac:dyDescent="0.3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4.4" x14ac:dyDescent="0.3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4.4" x14ac:dyDescent="0.3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4.4" x14ac:dyDescent="0.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4.4" x14ac:dyDescent="0.3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4.4" x14ac:dyDescent="0.3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4.4" x14ac:dyDescent="0.3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4.4" x14ac:dyDescent="0.3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4.4" x14ac:dyDescent="0.3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4.4" x14ac:dyDescent="0.3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4.4" x14ac:dyDescent="0.3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4.4" x14ac:dyDescent="0.3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4.4" x14ac:dyDescent="0.3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4.4" x14ac:dyDescent="0.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4.4" x14ac:dyDescent="0.3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4.4" x14ac:dyDescent="0.3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4.4" x14ac:dyDescent="0.3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4.4" x14ac:dyDescent="0.3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4.4" x14ac:dyDescent="0.3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4.4" x14ac:dyDescent="0.3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4.4" x14ac:dyDescent="0.3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4.4" x14ac:dyDescent="0.3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4.4" x14ac:dyDescent="0.3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4.4" x14ac:dyDescent="0.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4.4" x14ac:dyDescent="0.3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4.4" x14ac:dyDescent="0.3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4.4" x14ac:dyDescent="0.3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4.4" x14ac:dyDescent="0.3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4.4" x14ac:dyDescent="0.3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4.4" x14ac:dyDescent="0.3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4.4" x14ac:dyDescent="0.3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4.4" x14ac:dyDescent="0.3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4.4" x14ac:dyDescent="0.3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4.4" x14ac:dyDescent="0.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4.4" x14ac:dyDescent="0.3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4.4" x14ac:dyDescent="0.3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4.4" x14ac:dyDescent="0.3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4.4" x14ac:dyDescent="0.3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4.4" x14ac:dyDescent="0.3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4.4" x14ac:dyDescent="0.3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4.4" x14ac:dyDescent="0.3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4.4" x14ac:dyDescent="0.3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4.4" x14ac:dyDescent="0.3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4.4" x14ac:dyDescent="0.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4.4" x14ac:dyDescent="0.3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4.4" x14ac:dyDescent="0.3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4.4" x14ac:dyDescent="0.3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4.4" x14ac:dyDescent="0.3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4.4" x14ac:dyDescent="0.3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4.4" x14ac:dyDescent="0.3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4.4" x14ac:dyDescent="0.3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4.4" x14ac:dyDescent="0.3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4.4" x14ac:dyDescent="0.3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4.4" x14ac:dyDescent="0.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4.4" x14ac:dyDescent="0.3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4.4" x14ac:dyDescent="0.3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4.4" x14ac:dyDescent="0.3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4.4" x14ac:dyDescent="0.3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4.4" x14ac:dyDescent="0.3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4.4" x14ac:dyDescent="0.3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4.4" x14ac:dyDescent="0.3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4.4" x14ac:dyDescent="0.3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4.4" x14ac:dyDescent="0.3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4.4" x14ac:dyDescent="0.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4.4" x14ac:dyDescent="0.3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4.4" x14ac:dyDescent="0.3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4.4" x14ac:dyDescent="0.3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4.4" x14ac:dyDescent="0.3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4.4" x14ac:dyDescent="0.3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4.4" x14ac:dyDescent="0.3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4.4" x14ac:dyDescent="0.3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4.4" x14ac:dyDescent="0.3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4.4" x14ac:dyDescent="0.3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4.4" x14ac:dyDescent="0.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4.4" x14ac:dyDescent="0.3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4.4" x14ac:dyDescent="0.3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4.4" x14ac:dyDescent="0.3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4.4" x14ac:dyDescent="0.3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4.4" x14ac:dyDescent="0.3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4.4" x14ac:dyDescent="0.3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4.4" x14ac:dyDescent="0.3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4.4" x14ac:dyDescent="0.3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4.4" x14ac:dyDescent="0.3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4.4" x14ac:dyDescent="0.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4.4" x14ac:dyDescent="0.3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4.4" x14ac:dyDescent="0.3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4.4" x14ac:dyDescent="0.3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4.4" x14ac:dyDescent="0.3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4.4" x14ac:dyDescent="0.3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4.4" x14ac:dyDescent="0.3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4.4" x14ac:dyDescent="0.3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4.4" x14ac:dyDescent="0.3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4.4" x14ac:dyDescent="0.3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4.4" x14ac:dyDescent="0.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4.4" x14ac:dyDescent="0.3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4.4" x14ac:dyDescent="0.3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4.4" x14ac:dyDescent="0.3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4.4" x14ac:dyDescent="0.3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4.4" x14ac:dyDescent="0.3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4.4" x14ac:dyDescent="0.3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4.4" x14ac:dyDescent="0.3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4.4" x14ac:dyDescent="0.3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4.4" x14ac:dyDescent="0.3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4.4" x14ac:dyDescent="0.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4.4" x14ac:dyDescent="0.3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4.4" x14ac:dyDescent="0.3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4.4" x14ac:dyDescent="0.3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4.4" x14ac:dyDescent="0.3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4.4" x14ac:dyDescent="0.3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4.4" x14ac:dyDescent="0.3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4.4" x14ac:dyDescent="0.3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4.4" x14ac:dyDescent="0.3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4.4" x14ac:dyDescent="0.3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4.4" x14ac:dyDescent="0.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4.4" x14ac:dyDescent="0.3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4.4" x14ac:dyDescent="0.3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4.4" x14ac:dyDescent="0.3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4.4" x14ac:dyDescent="0.3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4.4" x14ac:dyDescent="0.3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4.4" x14ac:dyDescent="0.3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4.4" x14ac:dyDescent="0.3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4.4" x14ac:dyDescent="0.3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4.4" x14ac:dyDescent="0.3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4.4" x14ac:dyDescent="0.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4.4" x14ac:dyDescent="0.3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4.4" x14ac:dyDescent="0.3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4.4" x14ac:dyDescent="0.3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4.4" x14ac:dyDescent="0.3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4.4" x14ac:dyDescent="0.3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4.4" x14ac:dyDescent="0.3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4.4" x14ac:dyDescent="0.3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4.4" x14ac:dyDescent="0.3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4.4" x14ac:dyDescent="0.3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4.4" x14ac:dyDescent="0.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4.4" x14ac:dyDescent="0.3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4.4" x14ac:dyDescent="0.3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4.4" x14ac:dyDescent="0.3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4.4" x14ac:dyDescent="0.3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4.4" x14ac:dyDescent="0.3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4.4" x14ac:dyDescent="0.3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4.4" x14ac:dyDescent="0.3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4.4" x14ac:dyDescent="0.3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4.4" x14ac:dyDescent="0.3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4.4" x14ac:dyDescent="0.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4.4" x14ac:dyDescent="0.3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4.4" x14ac:dyDescent="0.3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4.4" x14ac:dyDescent="0.3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4.4" x14ac:dyDescent="0.3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4.4" x14ac:dyDescent="0.3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4.4" x14ac:dyDescent="0.3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4.4" x14ac:dyDescent="0.3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4.4" x14ac:dyDescent="0.3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4.4" x14ac:dyDescent="0.3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4.4" x14ac:dyDescent="0.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4.4" x14ac:dyDescent="0.3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4.4" x14ac:dyDescent="0.3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4.4" x14ac:dyDescent="0.3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4.4" x14ac:dyDescent="0.3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4.4" x14ac:dyDescent="0.3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4.4" x14ac:dyDescent="0.3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4.4" x14ac:dyDescent="0.3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4.4" x14ac:dyDescent="0.3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4.4" x14ac:dyDescent="0.3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4.4" x14ac:dyDescent="0.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4.4" x14ac:dyDescent="0.3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4.4" x14ac:dyDescent="0.3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4.4" x14ac:dyDescent="0.3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4.4" x14ac:dyDescent="0.3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4.4" x14ac:dyDescent="0.3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4.4" x14ac:dyDescent="0.3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4.4" x14ac:dyDescent="0.3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4.4" x14ac:dyDescent="0.3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4.4" x14ac:dyDescent="0.3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4.4" x14ac:dyDescent="0.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4.4" x14ac:dyDescent="0.3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4.4" x14ac:dyDescent="0.3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4.4" x14ac:dyDescent="0.3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4.4" x14ac:dyDescent="0.3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4.4" x14ac:dyDescent="0.3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4.4" x14ac:dyDescent="0.3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4.4" x14ac:dyDescent="0.3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4.4" x14ac:dyDescent="0.3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4.4" x14ac:dyDescent="0.3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4.4" x14ac:dyDescent="0.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4.4" x14ac:dyDescent="0.3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4.4" x14ac:dyDescent="0.3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4.4" x14ac:dyDescent="0.3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4.4" x14ac:dyDescent="0.3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4.4" x14ac:dyDescent="0.3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4.4" x14ac:dyDescent="0.3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4.4" x14ac:dyDescent="0.3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4.4" x14ac:dyDescent="0.3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4.4" x14ac:dyDescent="0.3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4.4" x14ac:dyDescent="0.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4.4" x14ac:dyDescent="0.3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4.4" x14ac:dyDescent="0.3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4.4" x14ac:dyDescent="0.3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4.4" x14ac:dyDescent="0.3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4.4" x14ac:dyDescent="0.3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4.4" x14ac:dyDescent="0.3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4.4" x14ac:dyDescent="0.3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4.4" x14ac:dyDescent="0.3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4.4" x14ac:dyDescent="0.3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4.4" x14ac:dyDescent="0.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4.4" x14ac:dyDescent="0.3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4.4" x14ac:dyDescent="0.3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4.4" x14ac:dyDescent="0.3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4.4" x14ac:dyDescent="0.3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4.4" x14ac:dyDescent="0.3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4.4" x14ac:dyDescent="0.3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4.4" x14ac:dyDescent="0.3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4.4" x14ac:dyDescent="0.3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4.4" x14ac:dyDescent="0.3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4.4" x14ac:dyDescent="0.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4.4" x14ac:dyDescent="0.3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4.4" x14ac:dyDescent="0.3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4.4" x14ac:dyDescent="0.3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4.4" x14ac:dyDescent="0.3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4.4" x14ac:dyDescent="0.3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4.4" x14ac:dyDescent="0.3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4.4" x14ac:dyDescent="0.3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4.4" x14ac:dyDescent="0.3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4.4" x14ac:dyDescent="0.3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4.4" x14ac:dyDescent="0.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4.4" x14ac:dyDescent="0.3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4.4" x14ac:dyDescent="0.3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4.4" x14ac:dyDescent="0.3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4.4" x14ac:dyDescent="0.3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4.4" x14ac:dyDescent="0.3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4.4" x14ac:dyDescent="0.3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4.4" x14ac:dyDescent="0.3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4.4" x14ac:dyDescent="0.3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4.4" x14ac:dyDescent="0.3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4.4" x14ac:dyDescent="0.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4.4" x14ac:dyDescent="0.3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4.4" x14ac:dyDescent="0.3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4.4" x14ac:dyDescent="0.3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4.4" x14ac:dyDescent="0.3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4.4" x14ac:dyDescent="0.3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4.4" x14ac:dyDescent="0.3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4.4" x14ac:dyDescent="0.3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4.4" x14ac:dyDescent="0.3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4.4" x14ac:dyDescent="0.3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4.4" x14ac:dyDescent="0.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4.4" x14ac:dyDescent="0.3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4.4" x14ac:dyDescent="0.3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4.4" x14ac:dyDescent="0.3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4.4" x14ac:dyDescent="0.3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4.4" x14ac:dyDescent="0.3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4.4" x14ac:dyDescent="0.3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4.4" x14ac:dyDescent="0.3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ageMargins left="0.70866141732283472" right="0.70866141732283472" top="0.74803149606299213" bottom="0.74803149606299213" header="0.31496062992125984" footer="0.31496062992125984"/>
  <pageSetup paperSize="9" scale="3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Sales budget performance manage</vt:lpstr>
      <vt:lpstr>Sheet1</vt:lpstr>
      <vt:lpstr>Graph</vt:lpstr>
      <vt:lpstr>'Sales budget performance manage'!Print_Area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Biofresh Foods</cp:lastModifiedBy>
  <dcterms:created xsi:type="dcterms:W3CDTF">2024-12-24T03:21:07Z</dcterms:created>
  <dcterms:modified xsi:type="dcterms:W3CDTF">2026-09-18T03:02:11Z</dcterms:modified>
</cp:coreProperties>
</file>